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atministracion 21-24 informacion julio 2025\metas e informes  21-27\"/>
    </mc:Choice>
  </mc:AlternateContent>
  <bookViews>
    <workbookView xWindow="0" yWindow="0" windowWidth="28800" windowHeight="11430" activeTab="3"/>
  </bookViews>
  <sheets>
    <sheet name="informacion resumen hermosillo" sheetId="1" r:id="rId1"/>
    <sheet name="informacion resumen pma" sheetId="2" r:id="rId2"/>
    <sheet name="informacion resumen kino" sheetId="3" r:id="rId3"/>
    <sheet name="CONCENTRADO" sheetId="4" r:id="rId4"/>
  </sheets>
  <calcPr calcId="162913"/>
</workbook>
</file>

<file path=xl/calcChain.xml><?xml version="1.0" encoding="utf-8"?>
<calcChain xmlns="http://schemas.openxmlformats.org/spreadsheetml/2006/main">
  <c r="M131" i="3" l="1"/>
  <c r="N131" i="3"/>
  <c r="M129" i="3"/>
  <c r="N129" i="3"/>
  <c r="M127" i="3"/>
  <c r="N127" i="3"/>
  <c r="M130" i="2"/>
  <c r="N130" i="2"/>
  <c r="M128" i="2"/>
  <c r="N128" i="2"/>
  <c r="M126" i="2"/>
  <c r="N126" i="2"/>
  <c r="M137" i="1"/>
  <c r="N137" i="1"/>
  <c r="M135" i="1"/>
  <c r="N135" i="1"/>
  <c r="M133" i="1"/>
  <c r="N133" i="1"/>
  <c r="AB155" i="3" l="1"/>
  <c r="AA155" i="3"/>
  <c r="AB154" i="3"/>
  <c r="AA154" i="3"/>
  <c r="AB153" i="3"/>
  <c r="AA153" i="3"/>
  <c r="AB152" i="3"/>
  <c r="AA152" i="3"/>
  <c r="AB151" i="3"/>
  <c r="AA151" i="3"/>
  <c r="AB150" i="3"/>
  <c r="AA150" i="3"/>
  <c r="AB149" i="3"/>
  <c r="AA149" i="3"/>
  <c r="AB148" i="3"/>
  <c r="AA148" i="3"/>
  <c r="AB147" i="3"/>
  <c r="AA147" i="3"/>
  <c r="AB146" i="3"/>
  <c r="AA146" i="3"/>
  <c r="AB145" i="3"/>
  <c r="AA145" i="3"/>
  <c r="AB144" i="3"/>
  <c r="AA144" i="3"/>
  <c r="AB143" i="3"/>
  <c r="AA143" i="3"/>
  <c r="AB142" i="3"/>
  <c r="AA142" i="3"/>
  <c r="AB141" i="3"/>
  <c r="AA141" i="3"/>
  <c r="AB140" i="3"/>
  <c r="AA140" i="3"/>
  <c r="AB139" i="3"/>
  <c r="AA139" i="3"/>
  <c r="AB131" i="3"/>
  <c r="AA131" i="3"/>
  <c r="AB130" i="3"/>
  <c r="AA130" i="3"/>
  <c r="L129" i="3"/>
  <c r="K129" i="3"/>
  <c r="J129" i="3"/>
  <c r="I129" i="3"/>
  <c r="H129" i="3"/>
  <c r="G129" i="3"/>
  <c r="F129" i="3"/>
  <c r="AB129" i="3" s="1"/>
  <c r="E129" i="3"/>
  <c r="D129" i="3"/>
  <c r="C129" i="3"/>
  <c r="AA129" i="3" s="1"/>
  <c r="AB128" i="3"/>
  <c r="AA128" i="3"/>
  <c r="L127" i="3"/>
  <c r="K127" i="3"/>
  <c r="J127" i="3"/>
  <c r="I127" i="3"/>
  <c r="H127" i="3"/>
  <c r="G127" i="3"/>
  <c r="F127" i="3"/>
  <c r="E127" i="3"/>
  <c r="D127" i="3"/>
  <c r="AB127" i="3" s="1"/>
  <c r="C127" i="3"/>
  <c r="AA127" i="3" s="1"/>
  <c r="AB126" i="3"/>
  <c r="AA126" i="3"/>
  <c r="AB125" i="3"/>
  <c r="AA125" i="3"/>
  <c r="AB124" i="3"/>
  <c r="AA124" i="3"/>
  <c r="AB123" i="3"/>
  <c r="AA123" i="3"/>
  <c r="AB122" i="3"/>
  <c r="AA122" i="3"/>
  <c r="AB121" i="3"/>
  <c r="AA121" i="3"/>
  <c r="AB120" i="3"/>
  <c r="AA120" i="3"/>
  <c r="AB119" i="3"/>
  <c r="AA119" i="3"/>
  <c r="AB118" i="3"/>
  <c r="AA118" i="3"/>
  <c r="AB117" i="3"/>
  <c r="AA117" i="3"/>
  <c r="AB116" i="3"/>
  <c r="AA116" i="3"/>
  <c r="AB115" i="3"/>
  <c r="AA115" i="3"/>
  <c r="AB108" i="3"/>
  <c r="AA108" i="3"/>
  <c r="AB107" i="3"/>
  <c r="AA107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AB106" i="3" s="1"/>
  <c r="C106" i="3"/>
  <c r="AA106" i="3" s="1"/>
  <c r="AB105" i="3"/>
  <c r="AA105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AA104" i="3" s="1"/>
  <c r="AB103" i="3"/>
  <c r="AA103" i="3"/>
  <c r="AB102" i="3"/>
  <c r="AA102" i="3"/>
  <c r="AB101" i="3"/>
  <c r="AA101" i="3"/>
  <c r="AB100" i="3"/>
  <c r="AA100" i="3"/>
  <c r="AB99" i="3"/>
  <c r="AA99" i="3"/>
  <c r="AB98" i="3"/>
  <c r="AA98" i="3"/>
  <c r="AB97" i="3"/>
  <c r="AA97" i="3"/>
  <c r="AB96" i="3"/>
  <c r="AA96" i="3"/>
  <c r="AB95" i="3"/>
  <c r="AA95" i="3"/>
  <c r="AB94" i="3"/>
  <c r="AA94" i="3"/>
  <c r="AB93" i="3"/>
  <c r="AA93" i="3"/>
  <c r="AB92" i="3"/>
  <c r="AB104" i="3" s="1"/>
  <c r="AA92" i="3"/>
  <c r="AB86" i="3"/>
  <c r="AB85" i="3"/>
  <c r="AA85" i="3"/>
  <c r="AA86" i="3" s="1"/>
  <c r="AB83" i="3"/>
  <c r="AB82" i="3"/>
  <c r="AA82" i="3"/>
  <c r="AA83" i="3" s="1"/>
  <c r="Z81" i="3"/>
  <c r="Y81" i="3"/>
  <c r="X81" i="3"/>
  <c r="AB81" i="3" s="1"/>
  <c r="W81" i="3"/>
  <c r="V81" i="3"/>
  <c r="U81" i="3"/>
  <c r="T81" i="3"/>
  <c r="S81" i="3"/>
  <c r="AA81" i="3" s="1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AB80" i="3"/>
  <c r="AA80" i="3"/>
  <c r="Z79" i="3"/>
  <c r="Y79" i="3"/>
  <c r="X79" i="3"/>
  <c r="W79" i="3"/>
  <c r="V79" i="3"/>
  <c r="U79" i="3"/>
  <c r="T79" i="3"/>
  <c r="AB79" i="3" s="1"/>
  <c r="S79" i="3"/>
  <c r="AA79" i="3" s="1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AB78" i="3"/>
  <c r="AA78" i="3"/>
  <c r="AB77" i="3"/>
  <c r="AA77" i="3"/>
  <c r="AB76" i="3"/>
  <c r="AA76" i="3"/>
  <c r="AB75" i="3"/>
  <c r="AA75" i="3"/>
  <c r="AB74" i="3"/>
  <c r="AA74" i="3"/>
  <c r="AB73" i="3"/>
  <c r="AA73" i="3"/>
  <c r="AB72" i="3"/>
  <c r="AA72" i="3"/>
  <c r="AB71" i="3"/>
  <c r="AA71" i="3"/>
  <c r="AB64" i="3"/>
  <c r="AA64" i="3"/>
  <c r="AB63" i="3"/>
  <c r="AA63" i="3"/>
  <c r="AB62" i="3"/>
  <c r="AA62" i="3"/>
  <c r="AB61" i="3"/>
  <c r="AB60" i="3"/>
  <c r="AA60" i="3"/>
  <c r="AA61" i="3" s="1"/>
  <c r="V59" i="3"/>
  <c r="U59" i="3"/>
  <c r="T59" i="3"/>
  <c r="S59" i="3"/>
  <c r="N59" i="3"/>
  <c r="M59" i="3"/>
  <c r="L59" i="3"/>
  <c r="K59" i="3"/>
  <c r="J59" i="3"/>
  <c r="I59" i="3"/>
  <c r="F59" i="3"/>
  <c r="AB59" i="3" s="1"/>
  <c r="E59" i="3"/>
  <c r="D59" i="3"/>
  <c r="C59" i="3"/>
  <c r="AA59" i="3" s="1"/>
  <c r="AB58" i="3"/>
  <c r="AA58" i="3"/>
  <c r="Z57" i="3"/>
  <c r="Y57" i="3"/>
  <c r="X57" i="3"/>
  <c r="W57" i="3"/>
  <c r="V57" i="3"/>
  <c r="U57" i="3"/>
  <c r="T57" i="3"/>
  <c r="S57" i="3"/>
  <c r="N57" i="3"/>
  <c r="M57" i="3"/>
  <c r="L57" i="3"/>
  <c r="K57" i="3"/>
  <c r="J57" i="3"/>
  <c r="I57" i="3"/>
  <c r="F57" i="3"/>
  <c r="E57" i="3"/>
  <c r="D57" i="3"/>
  <c r="AB57" i="3" s="1"/>
  <c r="C57" i="3"/>
  <c r="AA57" i="3" s="1"/>
  <c r="AB56" i="3"/>
  <c r="AA56" i="3"/>
  <c r="AB55" i="3"/>
  <c r="AA55" i="3"/>
  <c r="AB54" i="3"/>
  <c r="AA54" i="3"/>
  <c r="AB53" i="3"/>
  <c r="AA53" i="3"/>
  <c r="AB52" i="3"/>
  <c r="AA52" i="3"/>
  <c r="AB51" i="3"/>
  <c r="AA51" i="3"/>
  <c r="AB50" i="3"/>
  <c r="AA50" i="3"/>
  <c r="AB49" i="3"/>
  <c r="AA49" i="3"/>
  <c r="X43" i="3"/>
  <c r="W43" i="3"/>
  <c r="V43" i="3"/>
  <c r="U43" i="3"/>
  <c r="N43" i="3"/>
  <c r="M43" i="3"/>
  <c r="F43" i="3"/>
  <c r="AB43" i="3" s="1"/>
  <c r="E43" i="3"/>
  <c r="AA43" i="3" s="1"/>
  <c r="AB42" i="3"/>
  <c r="AA42" i="3"/>
  <c r="AB41" i="3"/>
  <c r="AA41" i="3"/>
  <c r="T40" i="3"/>
  <c r="S40" i="3"/>
  <c r="P40" i="3"/>
  <c r="AB40" i="3" s="1"/>
  <c r="O40" i="3"/>
  <c r="AA40" i="3" s="1"/>
  <c r="AB39" i="3"/>
  <c r="AA39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AB38" i="3" s="1"/>
  <c r="E38" i="3"/>
  <c r="D38" i="3"/>
  <c r="C38" i="3"/>
  <c r="AA38" i="3" s="1"/>
  <c r="AB37" i="3"/>
  <c r="AA37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AA36" i="3" s="1"/>
  <c r="AB35" i="3"/>
  <c r="AA35" i="3"/>
  <c r="AB34" i="3"/>
  <c r="AA34" i="3"/>
  <c r="AB33" i="3"/>
  <c r="AA33" i="3"/>
  <c r="AB32" i="3"/>
  <c r="AA32" i="3"/>
  <c r="AB31" i="3"/>
  <c r="AA31" i="3"/>
  <c r="AB30" i="3"/>
  <c r="AA30" i="3"/>
  <c r="AB29" i="3"/>
  <c r="AA29" i="3"/>
  <c r="AB28" i="3"/>
  <c r="AB36" i="3" s="1"/>
  <c r="AA28" i="3"/>
  <c r="J15" i="3"/>
  <c r="I15" i="3"/>
  <c r="L14" i="3"/>
  <c r="K14" i="3"/>
  <c r="L13" i="3"/>
  <c r="K13" i="3"/>
  <c r="L12" i="3"/>
  <c r="K12" i="3"/>
  <c r="L11" i="3"/>
  <c r="K11" i="3"/>
  <c r="L10" i="3"/>
  <c r="K10" i="3"/>
  <c r="L9" i="3"/>
  <c r="K9" i="3"/>
  <c r="L8" i="3"/>
  <c r="K8" i="3"/>
  <c r="L7" i="3"/>
  <c r="L15" i="3" s="1"/>
  <c r="K7" i="3"/>
  <c r="K15" i="3" s="1"/>
  <c r="AB156" i="2"/>
  <c r="AA156" i="2"/>
  <c r="AB155" i="2"/>
  <c r="AA155" i="2"/>
  <c r="AB154" i="2"/>
  <c r="AA154" i="2"/>
  <c r="AB153" i="2"/>
  <c r="AA153" i="2"/>
  <c r="AB152" i="2"/>
  <c r="AA152" i="2"/>
  <c r="AB151" i="2"/>
  <c r="AA151" i="2"/>
  <c r="AB150" i="2"/>
  <c r="AA150" i="2"/>
  <c r="AB149" i="2"/>
  <c r="AA149" i="2"/>
  <c r="AB148" i="2"/>
  <c r="AA148" i="2"/>
  <c r="AB147" i="2"/>
  <c r="AA147" i="2"/>
  <c r="AB146" i="2"/>
  <c r="AA146" i="2"/>
  <c r="AB145" i="2"/>
  <c r="AA145" i="2"/>
  <c r="AB144" i="2"/>
  <c r="AA144" i="2"/>
  <c r="AB143" i="2"/>
  <c r="AA143" i="2"/>
  <c r="AB142" i="2"/>
  <c r="AA142" i="2"/>
  <c r="AB141" i="2"/>
  <c r="AA141" i="2"/>
  <c r="AB140" i="2"/>
  <c r="AA140" i="2"/>
  <c r="J130" i="2"/>
  <c r="I130" i="2"/>
  <c r="H130" i="2"/>
  <c r="G130" i="2"/>
  <c r="F130" i="2"/>
  <c r="E130" i="2"/>
  <c r="D130" i="2"/>
  <c r="AB130" i="2" s="1"/>
  <c r="C130" i="2"/>
  <c r="AA130" i="2" s="1"/>
  <c r="AB129" i="2"/>
  <c r="AA129" i="2"/>
  <c r="L128" i="2"/>
  <c r="K128" i="2"/>
  <c r="J128" i="2"/>
  <c r="I128" i="2"/>
  <c r="H128" i="2"/>
  <c r="G128" i="2"/>
  <c r="F128" i="2"/>
  <c r="AB128" i="2" s="1"/>
  <c r="E128" i="2"/>
  <c r="D128" i="2"/>
  <c r="C128" i="2"/>
  <c r="AA128" i="2" s="1"/>
  <c r="AB127" i="2"/>
  <c r="AA127" i="2"/>
  <c r="L126" i="2"/>
  <c r="K126" i="2"/>
  <c r="J126" i="2"/>
  <c r="I126" i="2"/>
  <c r="H126" i="2"/>
  <c r="G126" i="2"/>
  <c r="F126" i="2"/>
  <c r="E126" i="2"/>
  <c r="D126" i="2"/>
  <c r="AB126" i="2" s="1"/>
  <c r="C126" i="2"/>
  <c r="AA126" i="2" s="1"/>
  <c r="AB125" i="2"/>
  <c r="AA125" i="2"/>
  <c r="AB124" i="2"/>
  <c r="AA124" i="2"/>
  <c r="AB123" i="2"/>
  <c r="AA123" i="2"/>
  <c r="AB122" i="2"/>
  <c r="AA122" i="2"/>
  <c r="AB121" i="2"/>
  <c r="AA121" i="2"/>
  <c r="AB120" i="2"/>
  <c r="AA120" i="2"/>
  <c r="AB119" i="2"/>
  <c r="AA119" i="2"/>
  <c r="AB118" i="2"/>
  <c r="AA118" i="2"/>
  <c r="AB117" i="2"/>
  <c r="AA117" i="2"/>
  <c r="AB116" i="2"/>
  <c r="AA116" i="2"/>
  <c r="AB115" i="2"/>
  <c r="AA115" i="2"/>
  <c r="AB114" i="2"/>
  <c r="AA114" i="2"/>
  <c r="J105" i="2"/>
  <c r="I105" i="2"/>
  <c r="H105" i="2"/>
  <c r="G105" i="2"/>
  <c r="F105" i="2"/>
  <c r="E105" i="2"/>
  <c r="D105" i="2"/>
  <c r="AB105" i="2" s="1"/>
  <c r="C105" i="2"/>
  <c r="AA105" i="2" s="1"/>
  <c r="AB104" i="2"/>
  <c r="AA104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AB103" i="2" s="1"/>
  <c r="C103" i="2"/>
  <c r="AA103" i="2" s="1"/>
  <c r="AB102" i="2"/>
  <c r="AA102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AB101" i="2" s="1"/>
  <c r="C101" i="2"/>
  <c r="AA101" i="2" s="1"/>
  <c r="AB100" i="2"/>
  <c r="AA100" i="2"/>
  <c r="AB99" i="2"/>
  <c r="AA99" i="2"/>
  <c r="AB98" i="2"/>
  <c r="AA98" i="2"/>
  <c r="AB97" i="2"/>
  <c r="AA97" i="2"/>
  <c r="AB96" i="2"/>
  <c r="AA96" i="2"/>
  <c r="AB95" i="2"/>
  <c r="AA95" i="2"/>
  <c r="AB94" i="2"/>
  <c r="AA94" i="2"/>
  <c r="AB93" i="2"/>
  <c r="AA93" i="2"/>
  <c r="AB92" i="2"/>
  <c r="AA92" i="2"/>
  <c r="AB91" i="2"/>
  <c r="AA91" i="2"/>
  <c r="AB90" i="2"/>
  <c r="AA90" i="2"/>
  <c r="AB89" i="2"/>
  <c r="AA89" i="2"/>
  <c r="T83" i="2"/>
  <c r="S83" i="2"/>
  <c r="P83" i="2"/>
  <c r="O83" i="2"/>
  <c r="L83" i="2"/>
  <c r="K83" i="2"/>
  <c r="AB82" i="2"/>
  <c r="AA82" i="2"/>
  <c r="AB81" i="2"/>
  <c r="AA81" i="2"/>
  <c r="AB80" i="2"/>
  <c r="AB83" i="2" s="1"/>
  <c r="AA80" i="2"/>
  <c r="AA83" i="2" s="1"/>
  <c r="Z79" i="2"/>
  <c r="Y79" i="2"/>
  <c r="X79" i="2"/>
  <c r="W79" i="2"/>
  <c r="V79" i="2"/>
  <c r="U79" i="2"/>
  <c r="T79" i="2"/>
  <c r="AB79" i="2" s="1"/>
  <c r="S79" i="2"/>
  <c r="R79" i="2"/>
  <c r="Q79" i="2"/>
  <c r="P79" i="2"/>
  <c r="O79" i="2"/>
  <c r="N79" i="2"/>
  <c r="M79" i="2"/>
  <c r="J79" i="2"/>
  <c r="I79" i="2"/>
  <c r="H79" i="2"/>
  <c r="G79" i="2"/>
  <c r="F79" i="2"/>
  <c r="E79" i="2"/>
  <c r="D79" i="2"/>
  <c r="C79" i="2"/>
  <c r="AB78" i="2"/>
  <c r="AA78" i="2"/>
  <c r="AA79" i="2" s="1"/>
  <c r="Z77" i="2"/>
  <c r="Y77" i="2"/>
  <c r="X77" i="2"/>
  <c r="AB77" i="2" s="1"/>
  <c r="W77" i="2"/>
  <c r="V77" i="2"/>
  <c r="U77" i="2"/>
  <c r="T77" i="2"/>
  <c r="S77" i="2"/>
  <c r="AA77" i="2" s="1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B76" i="2"/>
  <c r="AA76" i="2"/>
  <c r="Z75" i="2"/>
  <c r="Y75" i="2"/>
  <c r="X75" i="2"/>
  <c r="W75" i="2"/>
  <c r="V75" i="2"/>
  <c r="U75" i="2"/>
  <c r="T75" i="2"/>
  <c r="AB75" i="2" s="1"/>
  <c r="S75" i="2"/>
  <c r="AA75" i="2" s="1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B74" i="2"/>
  <c r="AA74" i="2"/>
  <c r="AB73" i="2"/>
  <c r="AA73" i="2"/>
  <c r="AB72" i="2"/>
  <c r="AA72" i="2"/>
  <c r="AB71" i="2"/>
  <c r="AA71" i="2"/>
  <c r="AB70" i="2"/>
  <c r="AA70" i="2"/>
  <c r="AB69" i="2"/>
  <c r="AA69" i="2"/>
  <c r="AB68" i="2"/>
  <c r="AA68" i="2"/>
  <c r="AB67" i="2"/>
  <c r="AA67" i="2"/>
  <c r="X63" i="2"/>
  <c r="W63" i="2"/>
  <c r="V63" i="2"/>
  <c r="U63" i="2"/>
  <c r="N63" i="2"/>
  <c r="M63" i="2"/>
  <c r="J63" i="2"/>
  <c r="AB63" i="2" s="1"/>
  <c r="I63" i="2"/>
  <c r="AA63" i="2" s="1"/>
  <c r="AB62" i="2"/>
  <c r="AA62" i="2"/>
  <c r="AB61" i="2"/>
  <c r="AA61" i="2"/>
  <c r="AB60" i="2"/>
  <c r="AA60" i="2"/>
  <c r="Z59" i="2"/>
  <c r="Y59" i="2"/>
  <c r="V59" i="2"/>
  <c r="U59" i="2"/>
  <c r="T59" i="2"/>
  <c r="S59" i="2"/>
  <c r="N59" i="2"/>
  <c r="M59" i="2"/>
  <c r="L59" i="2"/>
  <c r="K59" i="2"/>
  <c r="J59" i="2"/>
  <c r="I59" i="2"/>
  <c r="F59" i="2"/>
  <c r="E59" i="2"/>
  <c r="D59" i="2"/>
  <c r="C59" i="2"/>
  <c r="AB58" i="2"/>
  <c r="AB59" i="2" s="1"/>
  <c r="AA58" i="2"/>
  <c r="AA59" i="2" s="1"/>
  <c r="Z57" i="2"/>
  <c r="Y57" i="2"/>
  <c r="X57" i="2"/>
  <c r="W57" i="2"/>
  <c r="V57" i="2"/>
  <c r="U57" i="2"/>
  <c r="T57" i="2"/>
  <c r="S57" i="2"/>
  <c r="N57" i="2"/>
  <c r="M57" i="2"/>
  <c r="L57" i="2"/>
  <c r="K57" i="2"/>
  <c r="J57" i="2"/>
  <c r="I57" i="2"/>
  <c r="F57" i="2"/>
  <c r="E57" i="2"/>
  <c r="D57" i="2"/>
  <c r="AB57" i="2" s="1"/>
  <c r="C57" i="2"/>
  <c r="AA57" i="2" s="1"/>
  <c r="AB56" i="2"/>
  <c r="AA56" i="2"/>
  <c r="Z55" i="2"/>
  <c r="Y55" i="2"/>
  <c r="X55" i="2"/>
  <c r="W55" i="2"/>
  <c r="V55" i="2"/>
  <c r="U55" i="2"/>
  <c r="T55" i="2"/>
  <c r="S55" i="2"/>
  <c r="N55" i="2"/>
  <c r="M55" i="2"/>
  <c r="L55" i="2"/>
  <c r="K55" i="2"/>
  <c r="J55" i="2"/>
  <c r="I55" i="2"/>
  <c r="F55" i="2"/>
  <c r="AB55" i="2" s="1"/>
  <c r="E55" i="2"/>
  <c r="D55" i="2"/>
  <c r="C55" i="2"/>
  <c r="AA55" i="2" s="1"/>
  <c r="AB54" i="2"/>
  <c r="AA54" i="2"/>
  <c r="AB53" i="2"/>
  <c r="AA53" i="2"/>
  <c r="AB52" i="2"/>
  <c r="AA52" i="2"/>
  <c r="AB51" i="2"/>
  <c r="AA51" i="2"/>
  <c r="AB50" i="2"/>
  <c r="AA50" i="2"/>
  <c r="AB49" i="2"/>
  <c r="AA49" i="2"/>
  <c r="AB48" i="2"/>
  <c r="AA48" i="2"/>
  <c r="AB47" i="2"/>
  <c r="AA47" i="2"/>
  <c r="P39" i="2"/>
  <c r="O39" i="2"/>
  <c r="N39" i="2"/>
  <c r="AB39" i="2" s="1"/>
  <c r="M39" i="2"/>
  <c r="H39" i="2"/>
  <c r="G39" i="2"/>
  <c r="AA39" i="2" s="1"/>
  <c r="AB38" i="2"/>
  <c r="AA38" i="2"/>
  <c r="AB37" i="2"/>
  <c r="AA37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AB36" i="2" s="1"/>
  <c r="I36" i="2"/>
  <c r="F36" i="2"/>
  <c r="E36" i="2"/>
  <c r="AA36" i="2" s="1"/>
  <c r="AB35" i="2"/>
  <c r="AA35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AB34" i="2" s="1"/>
  <c r="C34" i="2"/>
  <c r="AA34" i="2" s="1"/>
  <c r="AB33" i="2"/>
  <c r="AA33" i="2"/>
  <c r="C186" i="2" s="1"/>
  <c r="C187" i="2" s="1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AB32" i="2" s="1"/>
  <c r="E32" i="2"/>
  <c r="D32" i="2"/>
  <c r="C32" i="2"/>
  <c r="AA32" i="2" s="1"/>
  <c r="AB31" i="2"/>
  <c r="AA31" i="2"/>
  <c r="AB30" i="2"/>
  <c r="AA30" i="2"/>
  <c r="AB29" i="2"/>
  <c r="D180" i="2" s="1"/>
  <c r="AA29" i="2"/>
  <c r="AB28" i="2"/>
  <c r="AA28" i="2"/>
  <c r="AB27" i="2"/>
  <c r="AA27" i="2"/>
  <c r="AB26" i="2"/>
  <c r="AA26" i="2"/>
  <c r="AB25" i="2"/>
  <c r="AA25" i="2"/>
  <c r="AB24" i="2"/>
  <c r="AA24" i="2"/>
  <c r="J19" i="2"/>
  <c r="I19" i="2"/>
  <c r="D19" i="2"/>
  <c r="C19" i="2"/>
  <c r="L18" i="2"/>
  <c r="D188" i="2" s="1"/>
  <c r="D190" i="2" s="1"/>
  <c r="K18" i="2"/>
  <c r="L17" i="2"/>
  <c r="L19" i="2" s="1"/>
  <c r="K17" i="2"/>
  <c r="K19" i="2" s="1"/>
  <c r="J16" i="2"/>
  <c r="I16" i="2"/>
  <c r="L15" i="2"/>
  <c r="D186" i="2" s="1"/>
  <c r="D187" i="2" s="1"/>
  <c r="K15" i="2"/>
  <c r="C188" i="2" s="1"/>
  <c r="C190" i="2" s="1"/>
  <c r="J12" i="2"/>
  <c r="I12" i="2"/>
  <c r="H12" i="2"/>
  <c r="G12" i="2"/>
  <c r="F12" i="2"/>
  <c r="E12" i="2"/>
  <c r="D12" i="2"/>
  <c r="L12" i="2" s="1"/>
  <c r="C12" i="2"/>
  <c r="K12" i="2" s="1"/>
  <c r="L11" i="2"/>
  <c r="D184" i="2" s="1"/>
  <c r="K11" i="2"/>
  <c r="C184" i="2" s="1"/>
  <c r="L10" i="2"/>
  <c r="K10" i="2"/>
  <c r="L9" i="2"/>
  <c r="K9" i="2"/>
  <c r="C180" i="2" s="1"/>
  <c r="L8" i="2"/>
  <c r="K8" i="2"/>
  <c r="L7" i="2"/>
  <c r="D176" i="2" s="1"/>
  <c r="K7" i="2"/>
  <c r="C176" i="2" s="1"/>
  <c r="L6" i="2"/>
  <c r="D175" i="2" s="1"/>
  <c r="K6" i="2"/>
  <c r="C175" i="2" s="1"/>
  <c r="L5" i="2"/>
  <c r="D174" i="2" s="1"/>
  <c r="K5" i="2"/>
  <c r="C174" i="2" s="1"/>
  <c r="L4" i="2"/>
  <c r="D173" i="2" s="1"/>
  <c r="D185" i="2" s="1"/>
  <c r="K4" i="2"/>
  <c r="C173" i="2" s="1"/>
  <c r="AB161" i="1"/>
  <c r="AA161" i="1"/>
  <c r="AB160" i="1"/>
  <c r="AA160" i="1"/>
  <c r="AB159" i="1"/>
  <c r="AA159" i="1"/>
  <c r="AB158" i="1"/>
  <c r="AA158" i="1"/>
  <c r="AB157" i="1"/>
  <c r="AA157" i="1"/>
  <c r="AB156" i="1"/>
  <c r="AA156" i="1"/>
  <c r="AB155" i="1"/>
  <c r="AA155" i="1"/>
  <c r="AB154" i="1"/>
  <c r="AA154" i="1"/>
  <c r="AB153" i="1"/>
  <c r="AA153" i="1"/>
  <c r="AB152" i="1"/>
  <c r="AA152" i="1"/>
  <c r="AB151" i="1"/>
  <c r="AA151" i="1"/>
  <c r="AB150" i="1"/>
  <c r="AA150" i="1"/>
  <c r="AB149" i="1"/>
  <c r="AA149" i="1"/>
  <c r="AB148" i="1"/>
  <c r="AA148" i="1"/>
  <c r="AB147" i="1"/>
  <c r="AA147" i="1"/>
  <c r="AB146" i="1"/>
  <c r="AA146" i="1"/>
  <c r="AB145" i="1"/>
  <c r="AA145" i="1"/>
  <c r="L137" i="1"/>
  <c r="K137" i="1"/>
  <c r="J137" i="1"/>
  <c r="I137" i="1"/>
  <c r="H137" i="1"/>
  <c r="G137" i="1"/>
  <c r="F137" i="1"/>
  <c r="E137" i="1"/>
  <c r="D137" i="1"/>
  <c r="AB137" i="1" s="1"/>
  <c r="C137" i="1"/>
  <c r="AA137" i="1" s="1"/>
  <c r="AB136" i="1"/>
  <c r="AA136" i="1"/>
  <c r="L135" i="1"/>
  <c r="K135" i="1"/>
  <c r="J135" i="1"/>
  <c r="I135" i="1"/>
  <c r="H135" i="1"/>
  <c r="G135" i="1"/>
  <c r="F135" i="1"/>
  <c r="AB135" i="1" s="1"/>
  <c r="E135" i="1"/>
  <c r="D135" i="1"/>
  <c r="C135" i="1"/>
  <c r="AA135" i="1" s="1"/>
  <c r="AB134" i="1"/>
  <c r="AA134" i="1"/>
  <c r="L133" i="1"/>
  <c r="K133" i="1"/>
  <c r="J133" i="1"/>
  <c r="I133" i="1"/>
  <c r="H133" i="1"/>
  <c r="G133" i="1"/>
  <c r="F133" i="1"/>
  <c r="E133" i="1"/>
  <c r="D133" i="1"/>
  <c r="C133" i="1"/>
  <c r="AB132" i="1"/>
  <c r="AA132" i="1"/>
  <c r="AB131" i="1"/>
  <c r="AA131" i="1"/>
  <c r="AB130" i="1"/>
  <c r="AA130" i="1"/>
  <c r="AB129" i="1"/>
  <c r="AA129" i="1"/>
  <c r="AB128" i="1"/>
  <c r="AA128" i="1"/>
  <c r="AB127" i="1"/>
  <c r="D174" i="1" s="1"/>
  <c r="AA127" i="1"/>
  <c r="AB126" i="1"/>
  <c r="AA126" i="1"/>
  <c r="AB125" i="1"/>
  <c r="AA125" i="1"/>
  <c r="AB124" i="1"/>
  <c r="AA124" i="1"/>
  <c r="AB123" i="1"/>
  <c r="AA123" i="1"/>
  <c r="AB122" i="1"/>
  <c r="AA122" i="1"/>
  <c r="AB121" i="1"/>
  <c r="AA121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AB114" i="1" s="1"/>
  <c r="C114" i="1"/>
  <c r="AA114" i="1" s="1"/>
  <c r="AB113" i="1"/>
  <c r="AA113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AB112" i="1" s="1"/>
  <c r="C112" i="1"/>
  <c r="AA112" i="1" s="1"/>
  <c r="AB111" i="1"/>
  <c r="AA111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AB109" i="1"/>
  <c r="AA109" i="1"/>
  <c r="AB108" i="1"/>
  <c r="D178" i="1" s="1"/>
  <c r="AA108" i="1"/>
  <c r="C178" i="1" s="1"/>
  <c r="AB107" i="1"/>
  <c r="D177" i="1" s="1"/>
  <c r="AA107" i="1"/>
  <c r="C177" i="1" s="1"/>
  <c r="AB106" i="1"/>
  <c r="AA106" i="1"/>
  <c r="AB105" i="1"/>
  <c r="AA105" i="1"/>
  <c r="AB104" i="1"/>
  <c r="AA104" i="1"/>
  <c r="C174" i="1" s="1"/>
  <c r="AB103" i="1"/>
  <c r="D173" i="1" s="1"/>
  <c r="AA103" i="1"/>
  <c r="C173" i="1" s="1"/>
  <c r="AB102" i="1"/>
  <c r="AA102" i="1"/>
  <c r="AB101" i="1"/>
  <c r="AA101" i="1"/>
  <c r="AB100" i="1"/>
  <c r="AA100" i="1"/>
  <c r="AB99" i="1"/>
  <c r="AA99" i="1"/>
  <c r="AB98" i="1"/>
  <c r="AB110" i="1" s="1"/>
  <c r="AA98" i="1"/>
  <c r="AA110" i="1" s="1"/>
  <c r="Z92" i="1"/>
  <c r="Y92" i="1"/>
  <c r="X92" i="1"/>
  <c r="W92" i="1"/>
  <c r="V92" i="1"/>
  <c r="U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AB92" i="1" s="1"/>
  <c r="E92" i="1"/>
  <c r="D92" i="1"/>
  <c r="C92" i="1"/>
  <c r="AA92" i="1" s="1"/>
  <c r="AB91" i="1"/>
  <c r="AA91" i="1"/>
  <c r="AB90" i="1"/>
  <c r="AA90" i="1"/>
  <c r="AB89" i="1"/>
  <c r="AA89" i="1"/>
  <c r="Z88" i="1"/>
  <c r="Y88" i="1"/>
  <c r="X88" i="1"/>
  <c r="W88" i="1"/>
  <c r="V88" i="1"/>
  <c r="U88" i="1"/>
  <c r="T88" i="1"/>
  <c r="AB88" i="1" s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AB87" i="1"/>
  <c r="AA87" i="1"/>
  <c r="AA88" i="1" s="1"/>
  <c r="Z86" i="1"/>
  <c r="Y86" i="1"/>
  <c r="X86" i="1"/>
  <c r="W86" i="1"/>
  <c r="V86" i="1"/>
  <c r="AB86" i="1" s="1"/>
  <c r="U86" i="1"/>
  <c r="T86" i="1"/>
  <c r="S86" i="1"/>
  <c r="AA86" i="1" s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AB85" i="1"/>
  <c r="AA85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AB83" i="1"/>
  <c r="AA83" i="1"/>
  <c r="AB82" i="1"/>
  <c r="AA82" i="1"/>
  <c r="AB81" i="1"/>
  <c r="AA81" i="1"/>
  <c r="AB80" i="1"/>
  <c r="AA80" i="1"/>
  <c r="AB79" i="1"/>
  <c r="AA79" i="1"/>
  <c r="AB78" i="1"/>
  <c r="AA78" i="1"/>
  <c r="AB77" i="1"/>
  <c r="AA77" i="1"/>
  <c r="AB76" i="1"/>
  <c r="AB84" i="1" s="1"/>
  <c r="AA76" i="1"/>
  <c r="AA84" i="1" s="1"/>
  <c r="Z71" i="1"/>
  <c r="Y71" i="1"/>
  <c r="X71" i="1"/>
  <c r="W71" i="1"/>
  <c r="V71" i="1"/>
  <c r="U71" i="1"/>
  <c r="T71" i="1"/>
  <c r="S71" i="1"/>
  <c r="N71" i="1"/>
  <c r="M71" i="1"/>
  <c r="L71" i="1"/>
  <c r="K71" i="1"/>
  <c r="J71" i="1"/>
  <c r="I71" i="1"/>
  <c r="F71" i="1"/>
  <c r="AB71" i="1" s="1"/>
  <c r="E71" i="1"/>
  <c r="D71" i="1"/>
  <c r="C71" i="1"/>
  <c r="AA71" i="1" s="1"/>
  <c r="AB70" i="1"/>
  <c r="AA70" i="1"/>
  <c r="AB69" i="1"/>
  <c r="AA69" i="1"/>
  <c r="AB68" i="1"/>
  <c r="AA68" i="1"/>
  <c r="Z67" i="1"/>
  <c r="Y67" i="1"/>
  <c r="X67" i="1"/>
  <c r="W67" i="1"/>
  <c r="V67" i="1"/>
  <c r="U67" i="1"/>
  <c r="T67" i="1"/>
  <c r="S67" i="1"/>
  <c r="N67" i="1"/>
  <c r="M67" i="1"/>
  <c r="L67" i="1"/>
  <c r="K67" i="1"/>
  <c r="J67" i="1"/>
  <c r="I67" i="1"/>
  <c r="F67" i="1"/>
  <c r="E67" i="1"/>
  <c r="D67" i="1"/>
  <c r="AB67" i="1" s="1"/>
  <c r="C67" i="1"/>
  <c r="AA67" i="1" s="1"/>
  <c r="AB66" i="1"/>
  <c r="AA66" i="1"/>
  <c r="Z65" i="1"/>
  <c r="Y65" i="1"/>
  <c r="X65" i="1"/>
  <c r="W65" i="1"/>
  <c r="V65" i="1"/>
  <c r="U65" i="1"/>
  <c r="T65" i="1"/>
  <c r="S65" i="1"/>
  <c r="N65" i="1"/>
  <c r="M65" i="1"/>
  <c r="J65" i="1"/>
  <c r="I65" i="1"/>
  <c r="F65" i="1"/>
  <c r="E65" i="1"/>
  <c r="D65" i="1"/>
  <c r="AB65" i="1" s="1"/>
  <c r="C65" i="1"/>
  <c r="AA65" i="1" s="1"/>
  <c r="AB64" i="1"/>
  <c r="AA64" i="1"/>
  <c r="Z63" i="1"/>
  <c r="Y63" i="1"/>
  <c r="X63" i="1"/>
  <c r="W63" i="1"/>
  <c r="V63" i="1"/>
  <c r="U63" i="1"/>
  <c r="T63" i="1"/>
  <c r="S63" i="1"/>
  <c r="N63" i="1"/>
  <c r="M63" i="1"/>
  <c r="L63" i="1"/>
  <c r="K63" i="1"/>
  <c r="J63" i="1"/>
  <c r="I63" i="1"/>
  <c r="F63" i="1"/>
  <c r="E63" i="1"/>
  <c r="D63" i="1"/>
  <c r="C63" i="1"/>
  <c r="AB62" i="1"/>
  <c r="AA62" i="1"/>
  <c r="AB61" i="1"/>
  <c r="AA61" i="1"/>
  <c r="AB60" i="1"/>
  <c r="AA60" i="1"/>
  <c r="AB59" i="1"/>
  <c r="AA59" i="1"/>
  <c r="AB58" i="1"/>
  <c r="AA58" i="1"/>
  <c r="AB57" i="1"/>
  <c r="AA57" i="1"/>
  <c r="AB56" i="1"/>
  <c r="AB63" i="1" s="1"/>
  <c r="AA56" i="1"/>
  <c r="AB55" i="1"/>
  <c r="AA55" i="1"/>
  <c r="AA63" i="1" s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AB49" i="1" s="1"/>
  <c r="E49" i="1"/>
  <c r="D49" i="1"/>
  <c r="C49" i="1"/>
  <c r="AA49" i="1" s="1"/>
  <c r="AB48" i="1"/>
  <c r="AA48" i="1"/>
  <c r="AB47" i="1"/>
  <c r="AA47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AB46" i="1" s="1"/>
  <c r="E46" i="1"/>
  <c r="D46" i="1"/>
  <c r="C46" i="1"/>
  <c r="AA46" i="1" s="1"/>
  <c r="AB45" i="1"/>
  <c r="D183" i="1" s="1"/>
  <c r="D184" i="1" s="1"/>
  <c r="AA45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AB44" i="1" s="1"/>
  <c r="C44" i="1"/>
  <c r="AA44" i="1" s="1"/>
  <c r="AB43" i="1"/>
  <c r="AA43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AB41" i="1"/>
  <c r="D179" i="1" s="1"/>
  <c r="AA41" i="1"/>
  <c r="AB40" i="1"/>
  <c r="AA40" i="1"/>
  <c r="AB39" i="1"/>
  <c r="AA39" i="1"/>
  <c r="AB38" i="1"/>
  <c r="AA38" i="1"/>
  <c r="AB37" i="1"/>
  <c r="AA37" i="1"/>
  <c r="AB36" i="1"/>
  <c r="AA36" i="1"/>
  <c r="AB35" i="1"/>
  <c r="AB42" i="1" s="1"/>
  <c r="AA35" i="1"/>
  <c r="AB34" i="1"/>
  <c r="AA34" i="1"/>
  <c r="AA42" i="1" s="1"/>
  <c r="J28" i="1"/>
  <c r="I28" i="1"/>
  <c r="H28" i="1"/>
  <c r="G28" i="1"/>
  <c r="F28" i="1"/>
  <c r="E28" i="1"/>
  <c r="D28" i="1"/>
  <c r="C28" i="1"/>
  <c r="L27" i="1"/>
  <c r="K27" i="1"/>
  <c r="L26" i="1"/>
  <c r="L28" i="1" s="1"/>
  <c r="K26" i="1"/>
  <c r="K28" i="1" s="1"/>
  <c r="J25" i="1"/>
  <c r="I25" i="1"/>
  <c r="H25" i="1"/>
  <c r="G25" i="1"/>
  <c r="D25" i="1"/>
  <c r="C25" i="1"/>
  <c r="L24" i="1"/>
  <c r="L25" i="1" s="1"/>
  <c r="K24" i="1"/>
  <c r="K25" i="1" s="1"/>
  <c r="L23" i="1"/>
  <c r="H23" i="1"/>
  <c r="G23" i="1"/>
  <c r="F23" i="1"/>
  <c r="E23" i="1"/>
  <c r="L22" i="1"/>
  <c r="K22" i="1"/>
  <c r="C181" i="1" s="1"/>
  <c r="C182" i="1" s="1"/>
  <c r="J21" i="1"/>
  <c r="I21" i="1"/>
  <c r="H21" i="1"/>
  <c r="G21" i="1"/>
  <c r="F21" i="1"/>
  <c r="E21" i="1"/>
  <c r="D21" i="1"/>
  <c r="C21" i="1"/>
  <c r="L20" i="1"/>
  <c r="K20" i="1"/>
  <c r="C179" i="1" s="1"/>
  <c r="L19" i="1"/>
  <c r="K19" i="1"/>
  <c r="L18" i="1"/>
  <c r="D175" i="1" s="1"/>
  <c r="K18" i="1"/>
  <c r="C175" i="1" s="1"/>
  <c r="L17" i="1"/>
  <c r="K17" i="1"/>
  <c r="L16" i="1"/>
  <c r="D171" i="1" s="1"/>
  <c r="K16" i="1"/>
  <c r="C171" i="1" s="1"/>
  <c r="L15" i="1"/>
  <c r="K15" i="1"/>
  <c r="C170" i="1" s="1"/>
  <c r="L14" i="1"/>
  <c r="D169" i="1" s="1"/>
  <c r="K14" i="1"/>
  <c r="C169" i="1" s="1"/>
  <c r="L13" i="1"/>
  <c r="K13" i="1"/>
  <c r="AB133" i="1" l="1"/>
  <c r="D170" i="1"/>
  <c r="AA133" i="1"/>
  <c r="D168" i="1"/>
  <c r="C168" i="1"/>
  <c r="C180" i="1" s="1"/>
  <c r="N11" i="3"/>
  <c r="O11" i="3"/>
  <c r="D180" i="1"/>
  <c r="C185" i="2"/>
  <c r="L21" i="1"/>
  <c r="O20" i="1" s="1"/>
  <c r="D181" i="1"/>
  <c r="D182" i="1" s="1"/>
  <c r="K21" i="1"/>
  <c r="O16" i="1" s="1"/>
  <c r="K23" i="1"/>
  <c r="C183" i="1"/>
  <c r="C184" i="1" s="1"/>
  <c r="K16" i="2"/>
  <c r="L16" i="2"/>
</calcChain>
</file>

<file path=xl/sharedStrings.xml><?xml version="1.0" encoding="utf-8"?>
<sst xmlns="http://schemas.openxmlformats.org/spreadsheetml/2006/main" count="1259" uniqueCount="65">
  <si>
    <t>Area 2021</t>
  </si>
  <si>
    <t>septiembre</t>
  </si>
  <si>
    <t>octubre</t>
  </si>
  <si>
    <t>noviembre</t>
  </si>
  <si>
    <t>diciembre</t>
  </si>
  <si>
    <t>TOTALES</t>
  </si>
  <si>
    <t xml:space="preserve">Sevicios </t>
  </si>
  <si>
    <t>Beneficiarios</t>
  </si>
  <si>
    <t>Trabajo Social</t>
  </si>
  <si>
    <t>Sesiones  Psicología</t>
  </si>
  <si>
    <t>Sesiones Terapia de Lenguaje</t>
  </si>
  <si>
    <t>Consultas Medicas</t>
  </si>
  <si>
    <t>Consulta Cámara Hiperbárica</t>
  </si>
  <si>
    <t>Sesiones Terapia Física</t>
  </si>
  <si>
    <t>Sesiones Terapia Cámara Hiperbárica</t>
  </si>
  <si>
    <t>Traslados</t>
  </si>
  <si>
    <t>TOTAL</t>
  </si>
  <si>
    <t>Talleres y platicas de sensibilización</t>
  </si>
  <si>
    <t>Funcionales</t>
  </si>
  <si>
    <t>Credenciales</t>
  </si>
  <si>
    <t>Tarjetones</t>
  </si>
  <si>
    <t>Area 2022</t>
  </si>
  <si>
    <t>Eenero</t>
  </si>
  <si>
    <t xml:space="preserve">febrero </t>
  </si>
  <si>
    <t>marzo</t>
  </si>
  <si>
    <t xml:space="preserve">abril </t>
  </si>
  <si>
    <t>mayo</t>
  </si>
  <si>
    <t>junio</t>
  </si>
  <si>
    <t>julio</t>
  </si>
  <si>
    <t xml:space="preserve">agosto </t>
  </si>
  <si>
    <t>Area 2023</t>
  </si>
  <si>
    <t>Becas</t>
  </si>
  <si>
    <t>Area 2024</t>
  </si>
  <si>
    <t>Area 2025</t>
  </si>
  <si>
    <t xml:space="preserve">enero </t>
  </si>
  <si>
    <t>febrero</t>
  </si>
  <si>
    <t>abril</t>
  </si>
  <si>
    <t>agosto</t>
  </si>
  <si>
    <t>Consulta Neuropsicologo</t>
  </si>
  <si>
    <t>Consulta tanatologo</t>
  </si>
  <si>
    <t>Terapia Ocupacional</t>
  </si>
  <si>
    <t>Terapia Sensorial</t>
  </si>
  <si>
    <t>Talleres y platicas de sensibilización,Foros, Conferencias y Eventos</t>
  </si>
  <si>
    <t>Funcionales y Tarjetones</t>
  </si>
  <si>
    <t>Area 2026</t>
  </si>
  <si>
    <t>Area 2027</t>
  </si>
  <si>
    <t>Area</t>
  </si>
  <si>
    <t>enero</t>
  </si>
  <si>
    <t xml:space="preserve">julio </t>
  </si>
  <si>
    <t>SEPTIEMBRE</t>
  </si>
  <si>
    <t>FEBRERO</t>
  </si>
  <si>
    <t>MARZO</t>
  </si>
  <si>
    <t>ABRIL</t>
  </si>
  <si>
    <t>MAYO</t>
  </si>
  <si>
    <t>JUNIO</t>
  </si>
  <si>
    <t>JULIO</t>
  </si>
  <si>
    <t>AGOSTO</t>
  </si>
  <si>
    <t>Sevicios</t>
  </si>
  <si>
    <t>Sesiones Psicología</t>
  </si>
  <si>
    <t>CONCENTRADO GENERAL POR UBR</t>
  </si>
  <si>
    <t>HERMOSILLO</t>
  </si>
  <si>
    <t>Servicios</t>
  </si>
  <si>
    <t>PMA</t>
  </si>
  <si>
    <t>KINO</t>
  </si>
  <si>
    <t>TOTAL GENERAL DE TODAS LAS UBR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</si>
</sst>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1">
    <font>
      <sz val="11"/>
      <color theme="1"/>
      <name val="Calibri"/>
    </font>
    <font>
      <sz val="10"/>
      <color theme="1"/>
      <name val="Calibri"/>
    </font>
    <font>
      <sz val="10"/>
      <name val="Soberana Sans"/>
    </font>
    <font>
      <sz val="10"/>
      <name val="Arial"/>
    </font>
    <font>
      <b/>
      <sz val="12"/>
      <name val="Arial"/>
    </font>
    <font>
      <sz val="14"/>
      <color theme="1"/>
      <name val="Arial"/>
    </font>
    <font>
      <sz val="12"/>
      <color rgb="FF000000"/>
      <name val="Arial"/>
    </font>
    <font>
      <sz val="12"/>
      <color theme="1"/>
      <name val="Arial"/>
    </font>
    <font>
      <b/>
      <sz val="12"/>
      <color theme="1"/>
      <name val="Arial"/>
    </font>
    <font>
      <b/>
      <sz val="20"/>
      <name val="Arial"/>
    </font>
    <font>
      <b/>
      <sz val="20"/>
      <color theme="1"/>
      <name val="Arial"/>
    </font>
    <font>
      <sz val="20"/>
      <color rgb="FF000000"/>
      <name val="Arial"/>
    </font>
    <font>
      <sz val="20"/>
      <color theme="1"/>
      <name val="Calibri"/>
    </font>
    <font>
      <sz val="20"/>
      <color theme="1"/>
      <name val="Arial"/>
    </font>
    <font>
      <b/>
      <sz val="20"/>
      <color theme="1"/>
      <name val="Calibri"/>
    </font>
    <font>
      <b/>
      <sz val="11"/>
      <color rgb="FFFFFFFF"/>
      <name val="Arial"/>
    </font>
    <font>
      <sz val="11"/>
      <color theme="1"/>
      <name val="Arial"/>
    </font>
    <font>
      <b/>
      <sz val="11"/>
      <color theme="1"/>
      <name val="Arial"/>
    </font>
    <font>
      <b/>
      <sz val="14"/>
      <name val="Arial"/>
    </font>
    <font>
      <b/>
      <sz val="14"/>
      <color theme="1"/>
      <name val="Arial"/>
    </font>
    <font>
      <b/>
      <sz val="2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rgb="FFFFFF00"/>
      </patternFill>
    </fill>
    <fill>
      <patternFill patternType="solid">
        <fgColor rgb="FF00B0F0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0F766E"/>
      </patternFill>
    </fill>
    <fill>
      <patternFill patternType="solid">
        <fgColor rgb="FFFFD966"/>
      </patternFill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rgb="FFD9D9D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/>
    <xf numFmtId="0" fontId="2" fillId="0" borderId="0"/>
  </cellStyleXfs>
  <cellXfs count="9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 wrapText="1"/>
    </xf>
    <xf numFmtId="0" fontId="16" fillId="0" borderId="0" xfId="0" applyNumberFormat="1" applyFont="1" applyFill="1" applyBorder="1"/>
    <xf numFmtId="0" fontId="8" fillId="7" borderId="0" xfId="0" applyNumberFormat="1" applyFont="1" applyFill="1" applyBorder="1" applyAlignment="1">
      <alignment horizontal="center"/>
    </xf>
    <xf numFmtId="0" fontId="17" fillId="8" borderId="0" xfId="0" applyNumberFormat="1" applyFont="1" applyFill="1" applyBorder="1" applyAlignment="1">
      <alignment horizontal="center"/>
    </xf>
    <xf numFmtId="0" fontId="8" fillId="8" borderId="0" xfId="0" applyNumberFormat="1" applyFont="1" applyFill="1" applyBorder="1" applyAlignment="1">
      <alignment horizontal="center"/>
    </xf>
    <xf numFmtId="1" fontId="16" fillId="0" borderId="0" xfId="0" applyNumberFormat="1" applyFont="1" applyFill="1" applyBorder="1"/>
    <xf numFmtId="1" fontId="8" fillId="7" borderId="0" xfId="0" applyNumberFormat="1" applyFont="1" applyFill="1" applyBorder="1" applyAlignment="1">
      <alignment horizontal="center"/>
    </xf>
    <xf numFmtId="1" fontId="17" fillId="8" borderId="0" xfId="0" applyNumberFormat="1" applyFont="1" applyFill="1" applyBorder="1" applyAlignment="1">
      <alignment horizontal="center"/>
    </xf>
    <xf numFmtId="1" fontId="8" fillId="8" borderId="0" xfId="0" applyNumberFormat="1" applyFont="1" applyFill="1" applyBorder="1" applyAlignment="1">
      <alignment horizontal="center"/>
    </xf>
    <xf numFmtId="0" fontId="9" fillId="10" borderId="2" xfId="0" applyNumberFormat="1" applyFont="1" applyFill="1" applyBorder="1" applyAlignment="1">
      <alignment horizontal="center" vertical="center" wrapText="1"/>
    </xf>
    <xf numFmtId="0" fontId="11" fillId="0" borderId="3" xfId="0" applyNumberFormat="1" applyFont="1" applyFill="1" applyBorder="1" applyAlignment="1">
      <alignment horizontal="center" vertical="center"/>
    </xf>
    <xf numFmtId="0" fontId="11" fillId="0" borderId="6" xfId="0" applyNumberFormat="1" applyFont="1" applyFill="1" applyBorder="1" applyAlignment="1">
      <alignment horizontal="center" vertical="center"/>
    </xf>
    <xf numFmtId="0" fontId="13" fillId="0" borderId="6" xfId="0" applyNumberFormat="1" applyFont="1" applyFill="1" applyBorder="1" applyAlignment="1">
      <alignment horizontal="center" vertical="center"/>
    </xf>
    <xf numFmtId="0" fontId="20" fillId="8" borderId="7" xfId="0" applyNumberFormat="1" applyFont="1" applyFill="1" applyBorder="1" applyAlignment="1">
      <alignment horizontal="center" vertical="center" wrapText="1"/>
    </xf>
    <xf numFmtId="0" fontId="20" fillId="8" borderId="7" xfId="0" applyNumberFormat="1" applyFont="1" applyFill="1" applyBorder="1" applyAlignment="1">
      <alignment horizontal="center" vertical="center"/>
    </xf>
    <xf numFmtId="0" fontId="20" fillId="8" borderId="6" xfId="0" applyNumberFormat="1" applyFont="1" applyFill="1" applyBorder="1" applyAlignment="1">
      <alignment horizontal="center" vertical="center"/>
    </xf>
    <xf numFmtId="1" fontId="12" fillId="0" borderId="4" xfId="0" applyNumberFormat="1" applyFont="1" applyFill="1" applyBorder="1" applyAlignment="1">
      <alignment horizontal="center" vertical="center"/>
    </xf>
    <xf numFmtId="1" fontId="14" fillId="8" borderId="18" xfId="0" applyNumberFormat="1" applyFont="1" applyFill="1" applyBorder="1" applyAlignment="1">
      <alignment horizontal="center" vertical="center"/>
    </xf>
    <xf numFmtId="1" fontId="10" fillId="8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" fontId="7" fillId="0" borderId="0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18" fillId="9" borderId="1" xfId="0" applyNumberFormat="1" applyFont="1" applyFill="1" applyBorder="1" applyAlignment="1">
      <alignment horizontal="center" vertical="center" wrapText="1"/>
    </xf>
    <xf numFmtId="0" fontId="9" fillId="10" borderId="2" xfId="0" applyNumberFormat="1" applyFont="1" applyFill="1" applyBorder="1" applyAlignment="1">
      <alignment horizontal="center" vertical="center" wrapText="1"/>
    </xf>
    <xf numFmtId="0" fontId="19" fillId="9" borderId="8" xfId="0" applyNumberFormat="1" applyFont="1" applyFill="1" applyBorder="1" applyAlignment="1">
      <alignment horizontal="center" vertical="center" wrapText="1"/>
    </xf>
    <xf numFmtId="0" fontId="19" fillId="9" borderId="9" xfId="0" applyNumberFormat="1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15" fillId="6" borderId="0" xfId="0" applyNumberFormat="1" applyFont="1" applyFill="1" applyBorder="1" applyAlignment="1">
      <alignment horizontal="center" vertical="center"/>
    </xf>
    <xf numFmtId="1" fontId="15" fillId="6" borderId="0" xfId="0" applyNumberFormat="1" applyFont="1" applyFill="1" applyBorder="1" applyAlignment="1">
      <alignment horizontal="center" vertical="center"/>
    </xf>
  </cellXfs>
  <cellStyles count="4">
    <cellStyle name="Millares 2" xfId="1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184"/>
  <sheetViews>
    <sheetView topLeftCell="C112" workbookViewId="0">
      <selection activeCell="Q129" sqref="Q129"/>
    </sheetView>
  </sheetViews>
  <sheetFormatPr baseColWidth="10" defaultColWidth="11.42578125" defaultRowHeight="12.75"/>
  <cols>
    <col min="1" max="1" width="7.28515625" style="1" customWidth="1"/>
    <col min="2" max="2" width="71.28515625" style="1" customWidth="1"/>
    <col min="3" max="3" width="20.140625" style="1" customWidth="1"/>
    <col min="4" max="4" width="28.140625" style="1" customWidth="1"/>
    <col min="5" max="5" width="11.42578125" style="1"/>
    <col min="6" max="6" width="18.85546875" style="1" customWidth="1"/>
    <col min="7" max="7" width="11.42578125" style="1"/>
    <col min="8" max="8" width="18.140625" style="1" customWidth="1"/>
    <col min="9" max="9" width="11.42578125" style="1"/>
    <col min="10" max="10" width="19.5703125" style="1" customWidth="1"/>
    <col min="11" max="11" width="11.42578125" style="1"/>
    <col min="12" max="12" width="19.85546875" style="1" customWidth="1"/>
    <col min="13" max="26" width="11.42578125" style="1"/>
    <col min="27" max="27" width="15.7109375" style="1" customWidth="1"/>
    <col min="28" max="28" width="18.42578125" style="1" customWidth="1"/>
    <col min="29" max="16384" width="11.42578125" style="1"/>
  </cols>
  <sheetData>
    <row r="1" spans="2:15" ht="15.75" customHeight="1"/>
    <row r="2" spans="2:15" ht="18" customHeight="1">
      <c r="B2" s="77"/>
      <c r="C2" s="77"/>
      <c r="D2" s="77"/>
    </row>
    <row r="3" spans="2:15" ht="15">
      <c r="B3" s="78"/>
      <c r="C3" s="78"/>
      <c r="D3" s="78"/>
    </row>
    <row r="4" spans="2:15" ht="15.75" customHeight="1"/>
    <row r="5" spans="2:15" ht="18" customHeight="1">
      <c r="B5" s="77"/>
      <c r="C5" s="77"/>
      <c r="D5" s="77"/>
    </row>
    <row r="6" spans="2:15" ht="15.75" customHeight="1"/>
    <row r="7" spans="2:15" ht="18" customHeight="1">
      <c r="B7" s="77"/>
      <c r="C7" s="77"/>
      <c r="D7" s="77"/>
    </row>
    <row r="8" spans="2:15" ht="15">
      <c r="B8" s="78"/>
      <c r="C8" s="78"/>
      <c r="D8" s="78"/>
    </row>
    <row r="9" spans="2:15" ht="15.75" customHeight="1"/>
    <row r="10" spans="2:15" ht="15.75" customHeight="1"/>
    <row r="11" spans="2:15" ht="15.75" customHeight="1">
      <c r="B11" s="79" t="s">
        <v>0</v>
      </c>
      <c r="C11" s="81" t="s">
        <v>1</v>
      </c>
      <c r="D11" s="82"/>
      <c r="E11" s="81" t="s">
        <v>2</v>
      </c>
      <c r="F11" s="82"/>
      <c r="G11" s="81" t="s">
        <v>3</v>
      </c>
      <c r="H11" s="82"/>
      <c r="I11" s="81" t="s">
        <v>4</v>
      </c>
      <c r="J11" s="82"/>
      <c r="K11" s="81" t="s">
        <v>5</v>
      </c>
      <c r="L11" s="82"/>
    </row>
    <row r="12" spans="2:15" s="2" customFormat="1" ht="15.75">
      <c r="B12" s="80"/>
      <c r="C12" s="18" t="s">
        <v>6</v>
      </c>
      <c r="D12" s="18" t="s">
        <v>7</v>
      </c>
      <c r="E12" s="18" t="s">
        <v>6</v>
      </c>
      <c r="F12" s="18" t="s">
        <v>7</v>
      </c>
      <c r="G12" s="18" t="s">
        <v>6</v>
      </c>
      <c r="H12" s="18" t="s">
        <v>7</v>
      </c>
      <c r="I12" s="18" t="s">
        <v>6</v>
      </c>
      <c r="J12" s="18" t="s">
        <v>7</v>
      </c>
      <c r="K12" s="19" t="s">
        <v>6</v>
      </c>
      <c r="L12" s="19" t="s">
        <v>7</v>
      </c>
    </row>
    <row r="13" spans="2:15" ht="20.25" customHeight="1">
      <c r="B13" s="3" t="s">
        <v>8</v>
      </c>
      <c r="C13" s="12">
        <v>12</v>
      </c>
      <c r="D13" s="12">
        <v>12</v>
      </c>
      <c r="E13" s="12">
        <v>18</v>
      </c>
      <c r="F13" s="12">
        <v>18</v>
      </c>
      <c r="G13" s="12">
        <v>26</v>
      </c>
      <c r="H13" s="12">
        <v>26</v>
      </c>
      <c r="I13" s="12">
        <v>7</v>
      </c>
      <c r="J13" s="12">
        <v>7</v>
      </c>
      <c r="K13" s="14">
        <f>+C13+E13+G13+I13</f>
        <v>63</v>
      </c>
      <c r="L13" s="14">
        <f>+D13+F13+H13+J13</f>
        <v>63</v>
      </c>
    </row>
    <row r="14" spans="2:15" ht="20.25" customHeight="1">
      <c r="B14" s="4" t="s">
        <v>9</v>
      </c>
      <c r="C14" s="12"/>
      <c r="D14" s="12"/>
      <c r="E14" s="12">
        <v>12</v>
      </c>
      <c r="F14" s="12">
        <v>8</v>
      </c>
      <c r="G14" s="12">
        <v>29</v>
      </c>
      <c r="H14" s="12">
        <v>23</v>
      </c>
      <c r="I14" s="12">
        <v>14</v>
      </c>
      <c r="J14" s="12">
        <v>10</v>
      </c>
      <c r="K14" s="14">
        <f t="shared" ref="K14:K20" si="0">+C14+E14+G14+I14</f>
        <v>55</v>
      </c>
      <c r="L14" s="14">
        <f t="shared" ref="L14:L20" si="1">+D14+F14+H14+J14</f>
        <v>41</v>
      </c>
    </row>
    <row r="15" spans="2:15" ht="20.25" customHeight="1">
      <c r="B15" s="4" t="s">
        <v>10</v>
      </c>
      <c r="C15" s="12">
        <v>17</v>
      </c>
      <c r="D15" s="12">
        <v>9</v>
      </c>
      <c r="E15" s="12">
        <v>26</v>
      </c>
      <c r="F15" s="12">
        <v>13</v>
      </c>
      <c r="G15" s="12">
        <v>31</v>
      </c>
      <c r="H15" s="12">
        <v>17</v>
      </c>
      <c r="I15" s="12">
        <v>25</v>
      </c>
      <c r="J15" s="12">
        <v>14</v>
      </c>
      <c r="K15" s="14">
        <f t="shared" si="0"/>
        <v>99</v>
      </c>
      <c r="L15" s="14">
        <f t="shared" si="1"/>
        <v>53</v>
      </c>
    </row>
    <row r="16" spans="2:15" ht="20.25" customHeight="1">
      <c r="B16" s="4" t="s">
        <v>11</v>
      </c>
      <c r="C16" s="12">
        <v>28</v>
      </c>
      <c r="D16" s="12">
        <v>28</v>
      </c>
      <c r="E16" s="12">
        <v>38</v>
      </c>
      <c r="F16" s="12">
        <v>38</v>
      </c>
      <c r="G16" s="12">
        <v>59</v>
      </c>
      <c r="H16" s="12">
        <v>17</v>
      </c>
      <c r="I16" s="12">
        <v>36</v>
      </c>
      <c r="J16" s="12">
        <v>36</v>
      </c>
      <c r="K16" s="14">
        <f t="shared" si="0"/>
        <v>161</v>
      </c>
      <c r="L16" s="14">
        <f t="shared" si="1"/>
        <v>119</v>
      </c>
      <c r="O16" s="1">
        <f>+K21+AA42+AA63+AA84+AA110+AA133</f>
        <v>22319</v>
      </c>
    </row>
    <row r="17" spans="2:28" ht="15">
      <c r="B17" s="4" t="s">
        <v>12</v>
      </c>
      <c r="C17" s="12"/>
      <c r="D17" s="12"/>
      <c r="E17" s="12"/>
      <c r="F17" s="12"/>
      <c r="G17" s="12"/>
      <c r="H17" s="12"/>
      <c r="I17" s="12"/>
      <c r="J17" s="12"/>
      <c r="K17" s="14">
        <f t="shared" si="0"/>
        <v>0</v>
      </c>
      <c r="L17" s="14">
        <f t="shared" si="1"/>
        <v>0</v>
      </c>
    </row>
    <row r="18" spans="2:28" ht="20.25" customHeight="1">
      <c r="B18" s="4" t="s">
        <v>13</v>
      </c>
      <c r="C18" s="12">
        <v>55</v>
      </c>
      <c r="D18" s="12">
        <v>12</v>
      </c>
      <c r="E18" s="12">
        <v>148</v>
      </c>
      <c r="F18" s="12">
        <v>31</v>
      </c>
      <c r="G18" s="12">
        <v>147</v>
      </c>
      <c r="H18" s="12">
        <v>37</v>
      </c>
      <c r="I18" s="12">
        <v>80</v>
      </c>
      <c r="J18" s="12">
        <v>29</v>
      </c>
      <c r="K18" s="14">
        <f t="shared" si="0"/>
        <v>430</v>
      </c>
      <c r="L18" s="14">
        <f t="shared" si="1"/>
        <v>109</v>
      </c>
    </row>
    <row r="19" spans="2:28" ht="20.25" customHeight="1">
      <c r="B19" s="4" t="s">
        <v>14</v>
      </c>
      <c r="C19" s="12"/>
      <c r="D19" s="12"/>
      <c r="E19" s="12"/>
      <c r="F19" s="12"/>
      <c r="G19" s="12"/>
      <c r="H19" s="12"/>
      <c r="I19" s="12"/>
      <c r="J19" s="12"/>
      <c r="K19" s="14">
        <f t="shared" si="0"/>
        <v>0</v>
      </c>
      <c r="L19" s="14">
        <f t="shared" si="1"/>
        <v>0</v>
      </c>
    </row>
    <row r="20" spans="2:28" ht="15">
      <c r="B20" s="5" t="s">
        <v>15</v>
      </c>
      <c r="C20" s="12"/>
      <c r="D20" s="12"/>
      <c r="E20" s="12"/>
      <c r="F20" s="12"/>
      <c r="G20" s="12">
        <v>34</v>
      </c>
      <c r="H20" s="12">
        <v>6</v>
      </c>
      <c r="I20" s="12">
        <v>32</v>
      </c>
      <c r="J20" s="12">
        <v>8</v>
      </c>
      <c r="K20" s="14">
        <f t="shared" si="0"/>
        <v>66</v>
      </c>
      <c r="L20" s="14">
        <f t="shared" si="1"/>
        <v>14</v>
      </c>
      <c r="O20" s="1">
        <f>+L21+AB42+AB63+AB84+AB110+AB133</f>
        <v>10193</v>
      </c>
    </row>
    <row r="21" spans="2:28" ht="15">
      <c r="B21" s="8" t="s">
        <v>16</v>
      </c>
      <c r="C21" s="13">
        <f t="shared" ref="C21:J21" si="2">SUM(C13:C20)</f>
        <v>112</v>
      </c>
      <c r="D21" s="13">
        <f t="shared" si="2"/>
        <v>61</v>
      </c>
      <c r="E21" s="13">
        <f t="shared" si="2"/>
        <v>242</v>
      </c>
      <c r="F21" s="13">
        <f t="shared" si="2"/>
        <v>108</v>
      </c>
      <c r="G21" s="13">
        <f t="shared" si="2"/>
        <v>326</v>
      </c>
      <c r="H21" s="13">
        <f t="shared" si="2"/>
        <v>126</v>
      </c>
      <c r="I21" s="13">
        <f t="shared" si="2"/>
        <v>194</v>
      </c>
      <c r="J21" s="13">
        <f t="shared" si="2"/>
        <v>104</v>
      </c>
      <c r="K21" s="13">
        <f>SUM(K13:K20)</f>
        <v>874</v>
      </c>
      <c r="L21" s="13">
        <f>SUM(L13:L20)</f>
        <v>399</v>
      </c>
    </row>
    <row r="22" spans="2:28" ht="15">
      <c r="B22" s="6" t="s">
        <v>17</v>
      </c>
      <c r="C22" s="12"/>
      <c r="D22" s="12"/>
      <c r="E22" s="12">
        <v>1</v>
      </c>
      <c r="F22" s="12">
        <v>13</v>
      </c>
      <c r="G22" s="12">
        <v>2</v>
      </c>
      <c r="H22" s="12">
        <v>30</v>
      </c>
      <c r="I22" s="12">
        <v>2</v>
      </c>
      <c r="J22" s="12">
        <v>40</v>
      </c>
      <c r="K22" s="14">
        <f>+C22+E22+G22+I22</f>
        <v>5</v>
      </c>
      <c r="L22" s="14">
        <f>+D22+F22+H22+J22</f>
        <v>83</v>
      </c>
    </row>
    <row r="23" spans="2:28" ht="15">
      <c r="B23" s="9" t="s">
        <v>16</v>
      </c>
      <c r="C23" s="13"/>
      <c r="D23" s="13"/>
      <c r="E23" s="13">
        <f>SUM(E22)</f>
        <v>1</v>
      </c>
      <c r="F23" s="13">
        <f>SUM(F22)</f>
        <v>13</v>
      </c>
      <c r="G23" s="13">
        <f>SUM(G22)</f>
        <v>2</v>
      </c>
      <c r="H23" s="13">
        <f>SUM(H22)</f>
        <v>30</v>
      </c>
      <c r="I23" s="13"/>
      <c r="J23" s="13"/>
      <c r="K23" s="13">
        <f>SUM(K22)</f>
        <v>5</v>
      </c>
      <c r="L23" s="13">
        <f>SUM(L22)</f>
        <v>83</v>
      </c>
    </row>
    <row r="24" spans="2:28" ht="15">
      <c r="B24" s="7" t="s">
        <v>18</v>
      </c>
      <c r="C24" s="12">
        <v>3</v>
      </c>
      <c r="D24" s="12">
        <v>3</v>
      </c>
      <c r="E24" s="12">
        <v>1</v>
      </c>
      <c r="F24" s="12">
        <v>1</v>
      </c>
      <c r="G24" s="12">
        <v>1</v>
      </c>
      <c r="H24" s="12">
        <v>1</v>
      </c>
      <c r="I24" s="12">
        <v>3</v>
      </c>
      <c r="J24" s="12">
        <v>3</v>
      </c>
      <c r="K24" s="15">
        <f>+C24+E24+G24+I24</f>
        <v>8</v>
      </c>
      <c r="L24" s="15">
        <f>+D24+F24+H24+J24</f>
        <v>8</v>
      </c>
    </row>
    <row r="25" spans="2:28" ht="37.5" customHeight="1">
      <c r="B25" s="10" t="s">
        <v>16</v>
      </c>
      <c r="C25" s="13">
        <f>SUM(C24)</f>
        <v>3</v>
      </c>
      <c r="D25" s="13">
        <f>SUM(D24)</f>
        <v>3</v>
      </c>
      <c r="E25" s="13"/>
      <c r="F25" s="13"/>
      <c r="G25" s="13">
        <f t="shared" ref="G25:L25" si="3">SUM(G24)</f>
        <v>1</v>
      </c>
      <c r="H25" s="13">
        <f t="shared" si="3"/>
        <v>1</v>
      </c>
      <c r="I25" s="13">
        <f t="shared" si="3"/>
        <v>3</v>
      </c>
      <c r="J25" s="13">
        <f t="shared" si="3"/>
        <v>3</v>
      </c>
      <c r="K25" s="16">
        <f t="shared" si="3"/>
        <v>8</v>
      </c>
      <c r="L25" s="16">
        <f t="shared" si="3"/>
        <v>8</v>
      </c>
    </row>
    <row r="26" spans="2:28" ht="15">
      <c r="B26" s="21" t="s">
        <v>19</v>
      </c>
      <c r="C26" s="14"/>
      <c r="D26" s="14"/>
      <c r="E26" s="14"/>
      <c r="F26" s="14"/>
      <c r="G26" s="14"/>
      <c r="H26" s="14"/>
      <c r="I26" s="14"/>
      <c r="J26" s="14"/>
      <c r="K26" s="12">
        <f>+C26+E26+G26+I26</f>
        <v>0</v>
      </c>
      <c r="L26" s="12">
        <f>+D26+F26+H26+J26</f>
        <v>0</v>
      </c>
    </row>
    <row r="27" spans="2:28" ht="15">
      <c r="B27" s="22" t="s">
        <v>20</v>
      </c>
      <c r="C27" s="14">
        <v>8</v>
      </c>
      <c r="D27" s="14">
        <v>8</v>
      </c>
      <c r="E27" s="14">
        <v>7</v>
      </c>
      <c r="F27" s="14">
        <v>7</v>
      </c>
      <c r="G27" s="14">
        <v>17</v>
      </c>
      <c r="H27" s="14">
        <v>17</v>
      </c>
      <c r="I27" s="14">
        <v>3</v>
      </c>
      <c r="J27" s="14">
        <v>3</v>
      </c>
      <c r="K27" s="12">
        <f>+C27+E27+G27+I27</f>
        <v>35</v>
      </c>
      <c r="L27" s="12">
        <f>+D27+F27+H27+J27</f>
        <v>35</v>
      </c>
    </row>
    <row r="28" spans="2:28" ht="15">
      <c r="B28" s="10" t="s">
        <v>16</v>
      </c>
      <c r="C28" s="13">
        <f>SUM(C27)</f>
        <v>8</v>
      </c>
      <c r="D28" s="13">
        <f>SUM(D27)</f>
        <v>8</v>
      </c>
      <c r="E28" s="13">
        <f>SUM(E26:E27)</f>
        <v>7</v>
      </c>
      <c r="F28" s="13">
        <f>SUM(F26:F27)</f>
        <v>7</v>
      </c>
      <c r="G28" s="13">
        <f>SUM(G27)</f>
        <v>17</v>
      </c>
      <c r="H28" s="13">
        <f>SUM(H27)</f>
        <v>17</v>
      </c>
      <c r="I28" s="13">
        <f>SUM(I27)</f>
        <v>3</v>
      </c>
      <c r="J28" s="13">
        <f>SUM(J27)</f>
        <v>3</v>
      </c>
      <c r="K28" s="13">
        <f>SUM(K26:K27)</f>
        <v>35</v>
      </c>
      <c r="L28" s="13">
        <f>SUM(L26:L27)</f>
        <v>35</v>
      </c>
    </row>
    <row r="29" spans="2:28" ht="15">
      <c r="B29" s="78"/>
      <c r="C29" s="78"/>
      <c r="D29" s="78"/>
    </row>
    <row r="30" spans="2:28" ht="15.75" customHeight="1"/>
    <row r="31" spans="2:28" ht="18" customHeight="1">
      <c r="B31" s="77"/>
      <c r="C31" s="77"/>
      <c r="D31" s="77"/>
    </row>
    <row r="32" spans="2:28" ht="15.75" customHeight="1">
      <c r="B32" s="79" t="s">
        <v>21</v>
      </c>
      <c r="C32" s="81" t="s">
        <v>22</v>
      </c>
      <c r="D32" s="82"/>
      <c r="E32" s="81" t="s">
        <v>23</v>
      </c>
      <c r="F32" s="82"/>
      <c r="G32" s="81" t="s">
        <v>24</v>
      </c>
      <c r="H32" s="82"/>
      <c r="I32" s="81" t="s">
        <v>25</v>
      </c>
      <c r="J32" s="82"/>
      <c r="K32" s="81" t="s">
        <v>26</v>
      </c>
      <c r="L32" s="82"/>
      <c r="M32" s="81" t="s">
        <v>27</v>
      </c>
      <c r="N32" s="82"/>
      <c r="O32" s="81" t="s">
        <v>28</v>
      </c>
      <c r="P32" s="82"/>
      <c r="Q32" s="81" t="s">
        <v>29</v>
      </c>
      <c r="R32" s="82"/>
      <c r="S32" s="81" t="s">
        <v>1</v>
      </c>
      <c r="T32" s="82"/>
      <c r="U32" s="81" t="s">
        <v>2</v>
      </c>
      <c r="V32" s="82"/>
      <c r="W32" s="81" t="s">
        <v>3</v>
      </c>
      <c r="X32" s="82"/>
      <c r="Y32" s="81" t="s">
        <v>4</v>
      </c>
      <c r="Z32" s="82"/>
      <c r="AA32" s="81" t="s">
        <v>5</v>
      </c>
      <c r="AB32" s="82"/>
    </row>
    <row r="33" spans="2:28" s="2" customFormat="1" ht="31.5">
      <c r="B33" s="80"/>
      <c r="C33" s="18" t="s">
        <v>6</v>
      </c>
      <c r="D33" s="18" t="s">
        <v>7</v>
      </c>
      <c r="E33" s="18" t="s">
        <v>6</v>
      </c>
      <c r="F33" s="18" t="s">
        <v>7</v>
      </c>
      <c r="G33" s="18" t="s">
        <v>6</v>
      </c>
      <c r="H33" s="18" t="s">
        <v>7</v>
      </c>
      <c r="I33" s="18" t="s">
        <v>6</v>
      </c>
      <c r="J33" s="18" t="s">
        <v>7</v>
      </c>
      <c r="K33" s="18" t="s">
        <v>6</v>
      </c>
      <c r="L33" s="18" t="s">
        <v>7</v>
      </c>
      <c r="M33" s="18" t="s">
        <v>6</v>
      </c>
      <c r="N33" s="18" t="s">
        <v>7</v>
      </c>
      <c r="O33" s="18" t="s">
        <v>6</v>
      </c>
      <c r="P33" s="18" t="s">
        <v>7</v>
      </c>
      <c r="Q33" s="18" t="s">
        <v>6</v>
      </c>
      <c r="R33" s="18" t="s">
        <v>7</v>
      </c>
      <c r="S33" s="18" t="s">
        <v>6</v>
      </c>
      <c r="T33" s="18" t="s">
        <v>7</v>
      </c>
      <c r="U33" s="18" t="s">
        <v>6</v>
      </c>
      <c r="V33" s="18" t="s">
        <v>7</v>
      </c>
      <c r="W33" s="18" t="s">
        <v>6</v>
      </c>
      <c r="X33" s="18" t="s">
        <v>7</v>
      </c>
      <c r="Y33" s="18" t="s">
        <v>6</v>
      </c>
      <c r="Z33" s="18" t="s">
        <v>7</v>
      </c>
      <c r="AA33" s="19" t="s">
        <v>6</v>
      </c>
      <c r="AB33" s="19" t="s">
        <v>7</v>
      </c>
    </row>
    <row r="34" spans="2:28" ht="20.25" customHeight="1">
      <c r="B34" s="3" t="s">
        <v>8</v>
      </c>
      <c r="C34" s="12">
        <v>2</v>
      </c>
      <c r="D34" s="12">
        <v>2</v>
      </c>
      <c r="E34" s="12">
        <v>26</v>
      </c>
      <c r="F34" s="12">
        <v>26</v>
      </c>
      <c r="G34" s="12">
        <v>38</v>
      </c>
      <c r="H34" s="12">
        <v>38</v>
      </c>
      <c r="I34" s="14">
        <v>13</v>
      </c>
      <c r="J34" s="14">
        <v>13</v>
      </c>
      <c r="K34" s="12">
        <v>323</v>
      </c>
      <c r="L34" s="12">
        <v>323</v>
      </c>
      <c r="M34" s="12">
        <v>51</v>
      </c>
      <c r="N34" s="12">
        <v>51</v>
      </c>
      <c r="O34" s="12">
        <v>23</v>
      </c>
      <c r="P34" s="12">
        <v>23</v>
      </c>
      <c r="Q34" s="12">
        <v>33</v>
      </c>
      <c r="R34" s="12">
        <v>33</v>
      </c>
      <c r="S34" s="12">
        <v>25</v>
      </c>
      <c r="T34" s="12">
        <v>25</v>
      </c>
      <c r="U34" s="12">
        <v>27</v>
      </c>
      <c r="V34" s="12">
        <v>27</v>
      </c>
      <c r="W34" s="12">
        <v>20</v>
      </c>
      <c r="X34" s="12">
        <v>20</v>
      </c>
      <c r="Y34" s="12"/>
      <c r="Z34" s="12"/>
      <c r="AA34" s="14">
        <f>+C34+E34+G34+I34+K34+M34+O34+Q34+S34+U34+W34+Y34</f>
        <v>581</v>
      </c>
      <c r="AB34" s="14">
        <f>+D34+F34+H34+J34+L34+N34+P34+R34+T34+V34+X34+Z34</f>
        <v>581</v>
      </c>
    </row>
    <row r="35" spans="2:28" ht="20.25" customHeight="1">
      <c r="B35" s="4" t="s">
        <v>9</v>
      </c>
      <c r="C35" s="12">
        <v>4</v>
      </c>
      <c r="D35" s="12">
        <v>3</v>
      </c>
      <c r="E35" s="12">
        <v>48</v>
      </c>
      <c r="F35" s="12">
        <v>34</v>
      </c>
      <c r="G35" s="12">
        <v>40</v>
      </c>
      <c r="H35" s="12">
        <v>33</v>
      </c>
      <c r="I35" s="14">
        <v>33</v>
      </c>
      <c r="J35" s="14">
        <v>22</v>
      </c>
      <c r="K35" s="12">
        <v>39</v>
      </c>
      <c r="L35" s="12">
        <v>28</v>
      </c>
      <c r="M35" s="12">
        <v>45</v>
      </c>
      <c r="N35" s="12">
        <v>21</v>
      </c>
      <c r="O35" s="12">
        <v>17</v>
      </c>
      <c r="P35" s="12">
        <v>15</v>
      </c>
      <c r="Q35" s="12">
        <v>26</v>
      </c>
      <c r="R35" s="12">
        <v>21</v>
      </c>
      <c r="S35" s="12">
        <v>29</v>
      </c>
      <c r="T35" s="12">
        <v>24</v>
      </c>
      <c r="U35" s="12">
        <v>38</v>
      </c>
      <c r="V35" s="12">
        <v>21</v>
      </c>
      <c r="W35" s="12">
        <v>24</v>
      </c>
      <c r="X35" s="12">
        <v>23</v>
      </c>
      <c r="Y35" s="12"/>
      <c r="Z35" s="12"/>
      <c r="AA35" s="14">
        <f t="shared" ref="AA35:AA41" si="4">+C35+E35+G35+I35+K35+M35+O35+Q35+S35+U35+W35+Y35</f>
        <v>343</v>
      </c>
      <c r="AB35" s="14">
        <f t="shared" ref="AB35:AB41" si="5">+D35+F35+H35+J35+L35+N35+P35+R35+T35+V35+X35+Z35</f>
        <v>245</v>
      </c>
    </row>
    <row r="36" spans="2:28" ht="20.25" customHeight="1">
      <c r="B36" s="4" t="s">
        <v>10</v>
      </c>
      <c r="C36" s="12"/>
      <c r="D36" s="12"/>
      <c r="E36" s="12">
        <v>32</v>
      </c>
      <c r="F36" s="12">
        <v>7</v>
      </c>
      <c r="G36" s="12">
        <v>34</v>
      </c>
      <c r="H36" s="12">
        <v>11</v>
      </c>
      <c r="I36" s="14">
        <v>21</v>
      </c>
      <c r="J36" s="14">
        <v>13</v>
      </c>
      <c r="K36" s="12">
        <v>108</v>
      </c>
      <c r="L36" s="12">
        <v>21</v>
      </c>
      <c r="M36" s="12">
        <v>128</v>
      </c>
      <c r="N36" s="12">
        <v>25</v>
      </c>
      <c r="O36" s="12">
        <v>53</v>
      </c>
      <c r="P36" s="12">
        <v>20</v>
      </c>
      <c r="Q36" s="12">
        <v>76</v>
      </c>
      <c r="R36" s="12">
        <v>22</v>
      </c>
      <c r="S36" s="12">
        <v>73</v>
      </c>
      <c r="T36" s="12">
        <v>22</v>
      </c>
      <c r="U36" s="12">
        <v>86</v>
      </c>
      <c r="V36" s="12">
        <v>25</v>
      </c>
      <c r="W36" s="12">
        <v>61</v>
      </c>
      <c r="X36" s="12">
        <v>24</v>
      </c>
      <c r="Y36" s="12"/>
      <c r="Z36" s="12"/>
      <c r="AA36" s="14">
        <f t="shared" si="4"/>
        <v>672</v>
      </c>
      <c r="AB36" s="14">
        <f t="shared" si="5"/>
        <v>190</v>
      </c>
    </row>
    <row r="37" spans="2:28" ht="20.25" customHeight="1">
      <c r="B37" s="4" t="s">
        <v>11</v>
      </c>
      <c r="C37" s="12">
        <v>45</v>
      </c>
      <c r="D37" s="12">
        <v>45</v>
      </c>
      <c r="E37" s="12">
        <v>100</v>
      </c>
      <c r="F37" s="12">
        <v>100</v>
      </c>
      <c r="G37" s="12">
        <v>87</v>
      </c>
      <c r="H37" s="12">
        <v>87</v>
      </c>
      <c r="I37" s="14">
        <v>92</v>
      </c>
      <c r="J37" s="14">
        <v>92</v>
      </c>
      <c r="K37" s="12">
        <v>150</v>
      </c>
      <c r="L37" s="12">
        <v>150</v>
      </c>
      <c r="M37" s="12">
        <v>148</v>
      </c>
      <c r="N37" s="12">
        <v>148</v>
      </c>
      <c r="O37" s="12">
        <v>41</v>
      </c>
      <c r="P37" s="12">
        <v>41</v>
      </c>
      <c r="Q37" s="12">
        <v>97</v>
      </c>
      <c r="R37" s="12">
        <v>97</v>
      </c>
      <c r="S37" s="12">
        <v>78</v>
      </c>
      <c r="T37" s="12">
        <v>78</v>
      </c>
      <c r="U37" s="12">
        <v>67</v>
      </c>
      <c r="V37" s="12">
        <v>62</v>
      </c>
      <c r="W37" s="12">
        <v>84</v>
      </c>
      <c r="X37" s="12">
        <v>84</v>
      </c>
      <c r="Y37" s="12"/>
      <c r="Z37" s="12"/>
      <c r="AA37" s="14">
        <f t="shared" si="4"/>
        <v>989</v>
      </c>
      <c r="AB37" s="14">
        <f t="shared" si="5"/>
        <v>984</v>
      </c>
    </row>
    <row r="38" spans="2:28" ht="15">
      <c r="B38" s="4" t="s">
        <v>12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4">
        <f t="shared" si="4"/>
        <v>0</v>
      </c>
      <c r="AB38" s="14">
        <f t="shared" si="5"/>
        <v>0</v>
      </c>
    </row>
    <row r="39" spans="2:28" ht="20.25" customHeight="1">
      <c r="B39" s="4" t="s">
        <v>13</v>
      </c>
      <c r="C39" s="12">
        <v>9</v>
      </c>
      <c r="D39" s="12">
        <v>5</v>
      </c>
      <c r="E39" s="12">
        <v>155</v>
      </c>
      <c r="F39" s="12">
        <v>31</v>
      </c>
      <c r="G39" s="12">
        <v>170</v>
      </c>
      <c r="H39" s="12">
        <v>39</v>
      </c>
      <c r="I39" s="12">
        <v>127</v>
      </c>
      <c r="J39" s="12">
        <v>31</v>
      </c>
      <c r="K39" s="12">
        <v>205</v>
      </c>
      <c r="L39" s="12">
        <v>37</v>
      </c>
      <c r="M39" s="12">
        <v>22</v>
      </c>
      <c r="N39" s="12">
        <v>43</v>
      </c>
      <c r="O39" s="12">
        <v>112</v>
      </c>
      <c r="P39" s="12">
        <v>34</v>
      </c>
      <c r="Q39" s="12">
        <v>182</v>
      </c>
      <c r="R39" s="12">
        <v>38</v>
      </c>
      <c r="S39" s="12">
        <v>149</v>
      </c>
      <c r="T39" s="12">
        <v>38</v>
      </c>
      <c r="U39" s="12">
        <v>208</v>
      </c>
      <c r="V39" s="12">
        <v>47</v>
      </c>
      <c r="W39" s="12">
        <v>232</v>
      </c>
      <c r="X39" s="12">
        <v>51</v>
      </c>
      <c r="Y39" s="12"/>
      <c r="Z39" s="12"/>
      <c r="AA39" s="14">
        <f t="shared" si="4"/>
        <v>1571</v>
      </c>
      <c r="AB39" s="14">
        <f t="shared" si="5"/>
        <v>394</v>
      </c>
    </row>
    <row r="40" spans="2:28" ht="20.25" customHeight="1">
      <c r="B40" s="4" t="s">
        <v>14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4">
        <f t="shared" si="4"/>
        <v>0</v>
      </c>
      <c r="AB40" s="14">
        <f t="shared" si="5"/>
        <v>0</v>
      </c>
    </row>
    <row r="41" spans="2:28" ht="15">
      <c r="B41" s="5" t="s">
        <v>15</v>
      </c>
      <c r="C41" s="12">
        <v>2</v>
      </c>
      <c r="D41" s="12">
        <v>1</v>
      </c>
      <c r="E41" s="12">
        <v>87</v>
      </c>
      <c r="F41" s="12">
        <v>10</v>
      </c>
      <c r="G41" s="12">
        <v>68</v>
      </c>
      <c r="H41" s="12">
        <v>10</v>
      </c>
      <c r="I41" s="12">
        <v>56</v>
      </c>
      <c r="J41" s="12">
        <v>7</v>
      </c>
      <c r="K41" s="12">
        <v>80</v>
      </c>
      <c r="L41" s="12">
        <v>9</v>
      </c>
      <c r="M41" s="12">
        <v>82</v>
      </c>
      <c r="N41" s="12">
        <v>9</v>
      </c>
      <c r="O41" s="12">
        <v>44</v>
      </c>
      <c r="P41" s="12">
        <v>6</v>
      </c>
      <c r="Q41" s="12">
        <v>88</v>
      </c>
      <c r="R41" s="12">
        <v>38</v>
      </c>
      <c r="S41" s="12">
        <v>65</v>
      </c>
      <c r="T41" s="12">
        <v>9</v>
      </c>
      <c r="U41" s="12">
        <v>80</v>
      </c>
      <c r="V41" s="12">
        <v>10</v>
      </c>
      <c r="W41" s="12">
        <v>22</v>
      </c>
      <c r="X41" s="12">
        <v>7</v>
      </c>
      <c r="Y41" s="12"/>
      <c r="Z41" s="12"/>
      <c r="AA41" s="14">
        <f t="shared" si="4"/>
        <v>674</v>
      </c>
      <c r="AB41" s="14">
        <f t="shared" si="5"/>
        <v>116</v>
      </c>
    </row>
    <row r="42" spans="2:28" ht="15">
      <c r="B42" s="8" t="s">
        <v>16</v>
      </c>
      <c r="C42" s="13">
        <f t="shared" ref="C42:P42" si="6">SUM(C34:C41)</f>
        <v>62</v>
      </c>
      <c r="D42" s="13">
        <f t="shared" si="6"/>
        <v>56</v>
      </c>
      <c r="E42" s="13">
        <f t="shared" si="6"/>
        <v>448</v>
      </c>
      <c r="F42" s="13">
        <f t="shared" si="6"/>
        <v>208</v>
      </c>
      <c r="G42" s="13">
        <f t="shared" si="6"/>
        <v>437</v>
      </c>
      <c r="H42" s="13">
        <f t="shared" si="6"/>
        <v>218</v>
      </c>
      <c r="I42" s="13">
        <f t="shared" si="6"/>
        <v>342</v>
      </c>
      <c r="J42" s="13">
        <f t="shared" si="6"/>
        <v>178</v>
      </c>
      <c r="K42" s="13">
        <f t="shared" si="6"/>
        <v>905</v>
      </c>
      <c r="L42" s="13">
        <f t="shared" si="6"/>
        <v>568</v>
      </c>
      <c r="M42" s="13">
        <f t="shared" si="6"/>
        <v>476</v>
      </c>
      <c r="N42" s="13">
        <f t="shared" si="6"/>
        <v>297</v>
      </c>
      <c r="O42" s="13">
        <f t="shared" si="6"/>
        <v>290</v>
      </c>
      <c r="P42" s="13">
        <f t="shared" si="6"/>
        <v>139</v>
      </c>
      <c r="Q42" s="13">
        <f t="shared" ref="Q42:V42" si="7">SUM(Q34:Q41)</f>
        <v>502</v>
      </c>
      <c r="R42" s="13">
        <f t="shared" si="7"/>
        <v>249</v>
      </c>
      <c r="S42" s="13">
        <f t="shared" si="7"/>
        <v>419</v>
      </c>
      <c r="T42" s="13">
        <f t="shared" si="7"/>
        <v>196</v>
      </c>
      <c r="U42" s="13">
        <f t="shared" si="7"/>
        <v>506</v>
      </c>
      <c r="V42" s="13">
        <f t="shared" si="7"/>
        <v>192</v>
      </c>
      <c r="W42" s="13">
        <f>SUM(W34:W41)</f>
        <v>443</v>
      </c>
      <c r="X42" s="13">
        <f>SUM(X34:X41)</f>
        <v>209</v>
      </c>
      <c r="Y42" s="13"/>
      <c r="Z42" s="13"/>
      <c r="AA42" s="13">
        <f>SUM(AA34:AA41)</f>
        <v>4830</v>
      </c>
      <c r="AB42" s="13">
        <f>SUM(AB34:AB41)</f>
        <v>2510</v>
      </c>
    </row>
    <row r="43" spans="2:28" ht="15">
      <c r="B43" s="6" t="s">
        <v>17</v>
      </c>
      <c r="C43" s="12">
        <v>1</v>
      </c>
      <c r="D43" s="12">
        <v>5</v>
      </c>
      <c r="E43" s="12">
        <v>2</v>
      </c>
      <c r="F43" s="12">
        <v>26</v>
      </c>
      <c r="G43" s="12">
        <v>6</v>
      </c>
      <c r="H43" s="12">
        <v>115</v>
      </c>
      <c r="I43" s="12">
        <v>3</v>
      </c>
      <c r="J43" s="12">
        <v>128</v>
      </c>
      <c r="K43" s="12">
        <v>2</v>
      </c>
      <c r="L43" s="12">
        <v>312</v>
      </c>
      <c r="M43" s="12">
        <v>1</v>
      </c>
      <c r="N43" s="12">
        <v>11</v>
      </c>
      <c r="O43" s="12">
        <v>1</v>
      </c>
      <c r="P43" s="12">
        <v>7</v>
      </c>
      <c r="Q43" s="12">
        <v>1</v>
      </c>
      <c r="R43" s="12">
        <v>15</v>
      </c>
      <c r="S43" s="12">
        <v>2</v>
      </c>
      <c r="T43" s="12">
        <v>17</v>
      </c>
      <c r="U43" s="12">
        <v>3</v>
      </c>
      <c r="V43" s="12">
        <v>51</v>
      </c>
      <c r="W43" s="12">
        <v>5</v>
      </c>
      <c r="X43" s="12">
        <v>69</v>
      </c>
      <c r="Y43" s="12"/>
      <c r="Z43" s="12"/>
      <c r="AA43" s="14">
        <f>+C43+E43+G43+I43+K43+M43+O43+Q43+S43+U43+W43+Y43</f>
        <v>27</v>
      </c>
      <c r="AB43" s="14">
        <f>+D43+F43+H43+J43+L43+N43+P43+R43+T43+V43+X43+Z43</f>
        <v>756</v>
      </c>
    </row>
    <row r="44" spans="2:28" ht="15">
      <c r="B44" s="9" t="s">
        <v>16</v>
      </c>
      <c r="C44" s="13">
        <f t="shared" ref="C44:P44" si="8">SUM(C43)</f>
        <v>1</v>
      </c>
      <c r="D44" s="13">
        <f t="shared" si="8"/>
        <v>5</v>
      </c>
      <c r="E44" s="13">
        <f t="shared" si="8"/>
        <v>2</v>
      </c>
      <c r="F44" s="13">
        <f t="shared" si="8"/>
        <v>26</v>
      </c>
      <c r="G44" s="13">
        <f t="shared" si="8"/>
        <v>6</v>
      </c>
      <c r="H44" s="13">
        <f t="shared" si="8"/>
        <v>115</v>
      </c>
      <c r="I44" s="13">
        <f t="shared" si="8"/>
        <v>3</v>
      </c>
      <c r="J44" s="13">
        <f t="shared" si="8"/>
        <v>128</v>
      </c>
      <c r="K44" s="13">
        <f t="shared" si="8"/>
        <v>2</v>
      </c>
      <c r="L44" s="13">
        <f t="shared" si="8"/>
        <v>312</v>
      </c>
      <c r="M44" s="13">
        <f t="shared" si="8"/>
        <v>1</v>
      </c>
      <c r="N44" s="13">
        <f t="shared" si="8"/>
        <v>11</v>
      </c>
      <c r="O44" s="13">
        <f t="shared" si="8"/>
        <v>1</v>
      </c>
      <c r="P44" s="13">
        <f t="shared" si="8"/>
        <v>7</v>
      </c>
      <c r="Q44" s="13">
        <f t="shared" ref="Q44:V44" si="9">SUM(Q43)</f>
        <v>1</v>
      </c>
      <c r="R44" s="13">
        <f t="shared" si="9"/>
        <v>15</v>
      </c>
      <c r="S44" s="13">
        <f t="shared" si="9"/>
        <v>2</v>
      </c>
      <c r="T44" s="13">
        <f t="shared" si="9"/>
        <v>17</v>
      </c>
      <c r="U44" s="13">
        <f t="shared" si="9"/>
        <v>3</v>
      </c>
      <c r="V44" s="13">
        <f t="shared" si="9"/>
        <v>51</v>
      </c>
      <c r="W44" s="13">
        <f>SUM(W43)</f>
        <v>5</v>
      </c>
      <c r="X44" s="13">
        <f>SUM(X43)</f>
        <v>69</v>
      </c>
      <c r="Y44" s="13"/>
      <c r="Z44" s="13"/>
      <c r="AA44" s="13">
        <f>+C44+E44+G44+I44+K44+M44+O44+Q44+S44+U44+W44+Y44</f>
        <v>27</v>
      </c>
      <c r="AB44" s="13">
        <f>+D44+F44+H44+J44+N44+L44+P44+R44+T44+V44+X44+Z44</f>
        <v>756</v>
      </c>
    </row>
    <row r="45" spans="2:28" ht="15">
      <c r="B45" s="7" t="s">
        <v>18</v>
      </c>
      <c r="C45" s="12">
        <v>7</v>
      </c>
      <c r="D45" s="12">
        <v>7</v>
      </c>
      <c r="E45" s="12">
        <v>4</v>
      </c>
      <c r="F45" s="12">
        <v>4</v>
      </c>
      <c r="G45" s="12">
        <v>21</v>
      </c>
      <c r="H45" s="12">
        <v>21</v>
      </c>
      <c r="I45" s="12">
        <v>32</v>
      </c>
      <c r="J45" s="12">
        <v>32</v>
      </c>
      <c r="K45" s="12">
        <v>24</v>
      </c>
      <c r="L45" s="12">
        <v>24</v>
      </c>
      <c r="M45" s="12">
        <v>32</v>
      </c>
      <c r="N45" s="12">
        <v>32</v>
      </c>
      <c r="O45" s="12">
        <v>16</v>
      </c>
      <c r="P45" s="12">
        <v>16</v>
      </c>
      <c r="Q45" s="12">
        <v>18</v>
      </c>
      <c r="R45" s="12">
        <v>18</v>
      </c>
      <c r="S45" s="12">
        <v>13</v>
      </c>
      <c r="T45" s="12">
        <v>13</v>
      </c>
      <c r="U45" s="12">
        <v>16</v>
      </c>
      <c r="V45" s="12">
        <v>16</v>
      </c>
      <c r="W45" s="12">
        <v>12</v>
      </c>
      <c r="X45" s="12">
        <v>12</v>
      </c>
      <c r="Y45" s="12"/>
      <c r="Z45" s="12"/>
      <c r="AA45" s="15">
        <f>+C45+E45+G45+I45+K45+M45+O45+Q45+S45+U45+W45+Y45</f>
        <v>195</v>
      </c>
      <c r="AB45" s="15">
        <f>+D45+F45+H45+J45+L45+N45+P45+R45+T45+V45+X45+Z45</f>
        <v>195</v>
      </c>
    </row>
    <row r="46" spans="2:28" ht="37.5" customHeight="1">
      <c r="B46" s="10" t="s">
        <v>16</v>
      </c>
      <c r="C46" s="13">
        <f t="shared" ref="C46:P46" si="10">SUM(C45)</f>
        <v>7</v>
      </c>
      <c r="D46" s="13">
        <f t="shared" si="10"/>
        <v>7</v>
      </c>
      <c r="E46" s="13">
        <f t="shared" si="10"/>
        <v>4</v>
      </c>
      <c r="F46" s="13">
        <f t="shared" si="10"/>
        <v>4</v>
      </c>
      <c r="G46" s="13">
        <f t="shared" si="10"/>
        <v>21</v>
      </c>
      <c r="H46" s="13">
        <f t="shared" si="10"/>
        <v>21</v>
      </c>
      <c r="I46" s="13">
        <f t="shared" si="10"/>
        <v>32</v>
      </c>
      <c r="J46" s="13">
        <f t="shared" si="10"/>
        <v>32</v>
      </c>
      <c r="K46" s="13">
        <f t="shared" si="10"/>
        <v>24</v>
      </c>
      <c r="L46" s="13">
        <f t="shared" si="10"/>
        <v>24</v>
      </c>
      <c r="M46" s="13">
        <f t="shared" si="10"/>
        <v>32</v>
      </c>
      <c r="N46" s="13">
        <f t="shared" si="10"/>
        <v>32</v>
      </c>
      <c r="O46" s="13">
        <f t="shared" si="10"/>
        <v>16</v>
      </c>
      <c r="P46" s="13">
        <f t="shared" si="10"/>
        <v>16</v>
      </c>
      <c r="Q46" s="13">
        <f t="shared" ref="Q46:V46" si="11">SUM(Q45)</f>
        <v>18</v>
      </c>
      <c r="R46" s="13">
        <f t="shared" si="11"/>
        <v>18</v>
      </c>
      <c r="S46" s="13">
        <f t="shared" si="11"/>
        <v>13</v>
      </c>
      <c r="T46" s="13">
        <f t="shared" si="11"/>
        <v>13</v>
      </c>
      <c r="U46" s="13">
        <f t="shared" si="11"/>
        <v>16</v>
      </c>
      <c r="V46" s="13">
        <f t="shared" si="11"/>
        <v>16</v>
      </c>
      <c r="W46" s="13">
        <f>SUM(W45)</f>
        <v>12</v>
      </c>
      <c r="X46" s="13">
        <f>SUM(X45)</f>
        <v>12</v>
      </c>
      <c r="Y46" s="13"/>
      <c r="Z46" s="13"/>
      <c r="AA46" s="16">
        <f>+C46+E46+G46+I46+K46+M46+O46+Q46+S46+T4+U46+W46+Y46</f>
        <v>195</v>
      </c>
      <c r="AB46" s="16">
        <f>+D46+F46+H46+J46+L46+N46+P46+R46+T46+V46+X46+Z46</f>
        <v>195</v>
      </c>
    </row>
    <row r="47" spans="2:28" ht="15">
      <c r="B47" s="21" t="s">
        <v>19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2">
        <f>+C47+E47+G47+I47+K47+O47+M47+Q47+S47+U47+W47+Y47</f>
        <v>0</v>
      </c>
      <c r="AB47" s="12">
        <f>+D47+F47+H47+J47+L47+N47+P47+R47+T47+V47+X47+Z47</f>
        <v>0</v>
      </c>
    </row>
    <row r="48" spans="2:28" ht="15">
      <c r="B48" s="22" t="s">
        <v>20</v>
      </c>
      <c r="C48" s="14">
        <v>9</v>
      </c>
      <c r="D48" s="14">
        <v>9</v>
      </c>
      <c r="E48" s="14">
        <v>15</v>
      </c>
      <c r="F48" s="14">
        <v>15</v>
      </c>
      <c r="G48" s="14">
        <v>24</v>
      </c>
      <c r="H48" s="14">
        <v>24</v>
      </c>
      <c r="I48" s="14">
        <v>16</v>
      </c>
      <c r="J48" s="14">
        <v>16</v>
      </c>
      <c r="K48" s="14">
        <v>23</v>
      </c>
      <c r="L48" s="14">
        <v>23</v>
      </c>
      <c r="M48" s="14">
        <v>29</v>
      </c>
      <c r="N48" s="14">
        <v>29</v>
      </c>
      <c r="O48" s="14">
        <v>16</v>
      </c>
      <c r="P48" s="14">
        <v>16</v>
      </c>
      <c r="Q48" s="14">
        <v>29</v>
      </c>
      <c r="R48" s="14">
        <v>29</v>
      </c>
      <c r="S48" s="14">
        <v>5</v>
      </c>
      <c r="T48" s="14">
        <v>5</v>
      </c>
      <c r="U48" s="14">
        <v>10</v>
      </c>
      <c r="V48" s="14">
        <v>10</v>
      </c>
      <c r="W48" s="14">
        <v>5</v>
      </c>
      <c r="X48" s="14">
        <v>5</v>
      </c>
      <c r="Y48" s="14"/>
      <c r="Z48" s="14"/>
      <c r="AA48" s="12">
        <f>+C48+E48+G48+I48+K48+O48+M48+Q48+S48+U48+W48+Y48</f>
        <v>181</v>
      </c>
      <c r="AB48" s="12">
        <f>+D48+F48+H48+J48+L48+N48+P48+R48+T48+V48+X48+Z48</f>
        <v>181</v>
      </c>
    </row>
    <row r="49" spans="2:28" ht="15">
      <c r="B49" s="10" t="s">
        <v>16</v>
      </c>
      <c r="C49" s="13">
        <f t="shared" ref="C49:P49" si="12">SUM(C48)</f>
        <v>9</v>
      </c>
      <c r="D49" s="13">
        <f t="shared" si="12"/>
        <v>9</v>
      </c>
      <c r="E49" s="13">
        <f t="shared" si="12"/>
        <v>15</v>
      </c>
      <c r="F49" s="13">
        <f t="shared" si="12"/>
        <v>15</v>
      </c>
      <c r="G49" s="13">
        <f t="shared" si="12"/>
        <v>24</v>
      </c>
      <c r="H49" s="13">
        <f t="shared" si="12"/>
        <v>24</v>
      </c>
      <c r="I49" s="13">
        <f t="shared" si="12"/>
        <v>16</v>
      </c>
      <c r="J49" s="13">
        <f t="shared" si="12"/>
        <v>16</v>
      </c>
      <c r="K49" s="13">
        <f t="shared" si="12"/>
        <v>23</v>
      </c>
      <c r="L49" s="13">
        <f t="shared" si="12"/>
        <v>23</v>
      </c>
      <c r="M49" s="13">
        <f t="shared" si="12"/>
        <v>29</v>
      </c>
      <c r="N49" s="13">
        <f t="shared" si="12"/>
        <v>29</v>
      </c>
      <c r="O49" s="13">
        <f t="shared" si="12"/>
        <v>16</v>
      </c>
      <c r="P49" s="13">
        <f t="shared" si="12"/>
        <v>16</v>
      </c>
      <c r="Q49" s="13">
        <f t="shared" ref="Q49:V49" si="13">SUM(Q48)</f>
        <v>29</v>
      </c>
      <c r="R49" s="13">
        <f t="shared" si="13"/>
        <v>29</v>
      </c>
      <c r="S49" s="13">
        <f t="shared" si="13"/>
        <v>5</v>
      </c>
      <c r="T49" s="13">
        <f t="shared" si="13"/>
        <v>5</v>
      </c>
      <c r="U49" s="13">
        <f t="shared" si="13"/>
        <v>10</v>
      </c>
      <c r="V49" s="13">
        <f t="shared" si="13"/>
        <v>10</v>
      </c>
      <c r="W49" s="13">
        <f>SUM(W48)</f>
        <v>5</v>
      </c>
      <c r="X49" s="13">
        <f>SUM(X48)</f>
        <v>5</v>
      </c>
      <c r="Y49" s="13"/>
      <c r="Z49" s="13"/>
      <c r="AA49" s="13">
        <f>+C49+E49+G49+M49+I49+K49+O49+Q49+U49+S49+W49+Y49</f>
        <v>181</v>
      </c>
      <c r="AB49" s="13">
        <f>+D49+F49+H49+J49+L49+N49+P49+R49+T49+V49+Z49+X49</f>
        <v>181</v>
      </c>
    </row>
    <row r="50" spans="2:28" ht="18" customHeight="1">
      <c r="B50" s="77"/>
      <c r="C50" s="77"/>
      <c r="D50" s="77"/>
    </row>
    <row r="51" spans="2:28" ht="15">
      <c r="B51" s="78"/>
      <c r="C51" s="78"/>
      <c r="D51" s="78"/>
    </row>
    <row r="52" spans="2:28" ht="15.75" customHeight="1"/>
    <row r="53" spans="2:28" ht="15.75" customHeight="1">
      <c r="B53" s="79" t="s">
        <v>30</v>
      </c>
      <c r="C53" s="81" t="s">
        <v>22</v>
      </c>
      <c r="D53" s="82"/>
      <c r="E53" s="81" t="s">
        <v>23</v>
      </c>
      <c r="F53" s="82"/>
      <c r="G53" s="81" t="s">
        <v>24</v>
      </c>
      <c r="H53" s="82"/>
      <c r="I53" s="81" t="s">
        <v>25</v>
      </c>
      <c r="J53" s="82"/>
      <c r="K53" s="81" t="s">
        <v>26</v>
      </c>
      <c r="L53" s="82"/>
      <c r="M53" s="81" t="s">
        <v>27</v>
      </c>
      <c r="N53" s="82"/>
      <c r="O53" s="81" t="s">
        <v>28</v>
      </c>
      <c r="P53" s="82"/>
      <c r="Q53" s="81" t="s">
        <v>29</v>
      </c>
      <c r="R53" s="82"/>
      <c r="S53" s="81" t="s">
        <v>1</v>
      </c>
      <c r="T53" s="82"/>
      <c r="U53" s="81" t="s">
        <v>2</v>
      </c>
      <c r="V53" s="82"/>
      <c r="W53" s="81" t="s">
        <v>3</v>
      </c>
      <c r="X53" s="82"/>
      <c r="Y53" s="81" t="s">
        <v>4</v>
      </c>
      <c r="Z53" s="82"/>
      <c r="AA53" s="81" t="s">
        <v>5</v>
      </c>
      <c r="AB53" s="82"/>
    </row>
    <row r="54" spans="2:28" s="2" customFormat="1" ht="31.5">
      <c r="B54" s="80"/>
      <c r="C54" s="18" t="s">
        <v>6</v>
      </c>
      <c r="D54" s="18" t="s">
        <v>7</v>
      </c>
      <c r="E54" s="18" t="s">
        <v>6</v>
      </c>
      <c r="F54" s="18" t="s">
        <v>7</v>
      </c>
      <c r="G54" s="18" t="s">
        <v>6</v>
      </c>
      <c r="H54" s="18" t="s">
        <v>7</v>
      </c>
      <c r="I54" s="18" t="s">
        <v>6</v>
      </c>
      <c r="J54" s="18" t="s">
        <v>7</v>
      </c>
      <c r="K54" s="18" t="s">
        <v>6</v>
      </c>
      <c r="L54" s="18" t="s">
        <v>7</v>
      </c>
      <c r="M54" s="18" t="s">
        <v>6</v>
      </c>
      <c r="N54" s="18" t="s">
        <v>7</v>
      </c>
      <c r="O54" s="18" t="s">
        <v>6</v>
      </c>
      <c r="P54" s="18" t="s">
        <v>7</v>
      </c>
      <c r="Q54" s="18" t="s">
        <v>6</v>
      </c>
      <c r="R54" s="18" t="s">
        <v>7</v>
      </c>
      <c r="S54" s="18" t="s">
        <v>6</v>
      </c>
      <c r="T54" s="18" t="s">
        <v>7</v>
      </c>
      <c r="U54" s="18" t="s">
        <v>6</v>
      </c>
      <c r="V54" s="18" t="s">
        <v>7</v>
      </c>
      <c r="W54" s="18" t="s">
        <v>6</v>
      </c>
      <c r="X54" s="18" t="s">
        <v>7</v>
      </c>
      <c r="Y54" s="18" t="s">
        <v>6</v>
      </c>
      <c r="Z54" s="18" t="s">
        <v>7</v>
      </c>
      <c r="AA54" s="19" t="s">
        <v>6</v>
      </c>
      <c r="AB54" s="19" t="s">
        <v>7</v>
      </c>
    </row>
    <row r="55" spans="2:28" ht="20.25" customHeight="1">
      <c r="B55" s="3" t="s">
        <v>8</v>
      </c>
      <c r="C55" s="12">
        <v>29</v>
      </c>
      <c r="D55" s="12">
        <v>29</v>
      </c>
      <c r="E55" s="12">
        <v>11</v>
      </c>
      <c r="F55" s="12">
        <v>11</v>
      </c>
      <c r="G55" s="12"/>
      <c r="H55" s="12"/>
      <c r="I55" s="12">
        <v>8</v>
      </c>
      <c r="J55" s="12">
        <v>8</v>
      </c>
      <c r="K55" s="12">
        <v>31</v>
      </c>
      <c r="L55" s="12">
        <v>31</v>
      </c>
      <c r="M55" s="12">
        <v>16</v>
      </c>
      <c r="N55" s="12">
        <v>16</v>
      </c>
      <c r="O55" s="12"/>
      <c r="P55" s="12"/>
      <c r="Q55" s="12"/>
      <c r="R55" s="12"/>
      <c r="S55" s="12">
        <v>25</v>
      </c>
      <c r="T55" s="12">
        <v>25</v>
      </c>
      <c r="U55" s="12">
        <v>32</v>
      </c>
      <c r="V55" s="12">
        <v>32</v>
      </c>
      <c r="W55" s="12">
        <v>37</v>
      </c>
      <c r="X55" s="12">
        <v>37</v>
      </c>
      <c r="Y55" s="12">
        <v>18</v>
      </c>
      <c r="Z55" s="12">
        <v>18</v>
      </c>
      <c r="AA55" s="14">
        <f>+C55+E55+G55+I55+K55+M55+O55+Q55+S55+U55+W55+Y55</f>
        <v>207</v>
      </c>
      <c r="AB55" s="14">
        <f>+D55+F55+H55+J55+L55+N55+P55+R55+V55+X55+T55+Z55</f>
        <v>207</v>
      </c>
    </row>
    <row r="56" spans="2:28" ht="20.25" customHeight="1">
      <c r="B56" s="4" t="s">
        <v>9</v>
      </c>
      <c r="C56" s="12">
        <v>30</v>
      </c>
      <c r="D56" s="12">
        <v>19</v>
      </c>
      <c r="E56" s="12">
        <v>30</v>
      </c>
      <c r="F56" s="12">
        <v>24</v>
      </c>
      <c r="G56" s="12"/>
      <c r="H56" s="12"/>
      <c r="I56" s="12">
        <v>26</v>
      </c>
      <c r="J56" s="12">
        <v>17</v>
      </c>
      <c r="K56" s="12">
        <v>35</v>
      </c>
      <c r="L56" s="12">
        <v>23</v>
      </c>
      <c r="M56" s="12">
        <v>50</v>
      </c>
      <c r="N56" s="12">
        <v>25</v>
      </c>
      <c r="O56" s="12"/>
      <c r="P56" s="12"/>
      <c r="Q56" s="12"/>
      <c r="R56" s="12"/>
      <c r="S56" s="12">
        <v>30</v>
      </c>
      <c r="T56" s="12">
        <v>17</v>
      </c>
      <c r="U56" s="12">
        <v>48</v>
      </c>
      <c r="V56" s="12">
        <v>28</v>
      </c>
      <c r="W56" s="12">
        <v>35</v>
      </c>
      <c r="X56" s="12">
        <v>34</v>
      </c>
      <c r="Y56" s="12">
        <v>11</v>
      </c>
      <c r="Z56" s="12">
        <v>10</v>
      </c>
      <c r="AA56" s="14">
        <f t="shared" ref="AA56:AA62" si="14">+C56+E56+G56+I56+K56+M56+O56+Q56+S56+U56+W56+Y56</f>
        <v>295</v>
      </c>
      <c r="AB56" s="14">
        <f t="shared" ref="AB56:AB62" si="15">+D56+F56+H56+J56+L56+N56+P56+R56+V56+X56+T56+Z56</f>
        <v>197</v>
      </c>
    </row>
    <row r="57" spans="2:28" ht="20.25" customHeight="1">
      <c r="B57" s="4" t="s">
        <v>10</v>
      </c>
      <c r="C57" s="12">
        <v>79</v>
      </c>
      <c r="D57" s="12">
        <v>22</v>
      </c>
      <c r="E57" s="12">
        <v>59</v>
      </c>
      <c r="F57" s="12">
        <v>17</v>
      </c>
      <c r="G57" s="12"/>
      <c r="H57" s="12"/>
      <c r="I57" s="12">
        <v>42</v>
      </c>
      <c r="J57" s="12">
        <v>15</v>
      </c>
      <c r="K57" s="12">
        <v>67</v>
      </c>
      <c r="L57" s="12">
        <v>19</v>
      </c>
      <c r="M57" s="12">
        <v>62</v>
      </c>
      <c r="N57" s="12">
        <v>15</v>
      </c>
      <c r="O57" s="12"/>
      <c r="P57" s="12"/>
      <c r="Q57" s="12"/>
      <c r="R57" s="12"/>
      <c r="S57" s="12">
        <v>26</v>
      </c>
      <c r="T57" s="12">
        <v>6</v>
      </c>
      <c r="U57" s="12">
        <v>34</v>
      </c>
      <c r="V57" s="12">
        <v>9</v>
      </c>
      <c r="W57" s="12">
        <v>31</v>
      </c>
      <c r="X57" s="12">
        <v>9</v>
      </c>
      <c r="Y57" s="12">
        <v>6</v>
      </c>
      <c r="Z57" s="12">
        <v>3</v>
      </c>
      <c r="AA57" s="14">
        <f t="shared" si="14"/>
        <v>406</v>
      </c>
      <c r="AB57" s="14">
        <f t="shared" si="15"/>
        <v>115</v>
      </c>
    </row>
    <row r="58" spans="2:28" ht="20.25" customHeight="1">
      <c r="B58" s="4" t="s">
        <v>11</v>
      </c>
      <c r="C58" s="12">
        <v>80</v>
      </c>
      <c r="D58" s="12">
        <v>80</v>
      </c>
      <c r="E58" s="12">
        <v>71</v>
      </c>
      <c r="F58" s="12">
        <v>71</v>
      </c>
      <c r="G58" s="12"/>
      <c r="H58" s="12"/>
      <c r="I58" s="12">
        <v>67</v>
      </c>
      <c r="J58" s="12">
        <v>67</v>
      </c>
      <c r="K58" s="12">
        <v>82</v>
      </c>
      <c r="L58" s="12">
        <v>82</v>
      </c>
      <c r="M58" s="12">
        <v>89</v>
      </c>
      <c r="N58" s="12">
        <v>87</v>
      </c>
      <c r="O58" s="12"/>
      <c r="P58" s="12"/>
      <c r="Q58" s="12"/>
      <c r="R58" s="12"/>
      <c r="S58" s="12">
        <v>77</v>
      </c>
      <c r="T58" s="12">
        <v>77</v>
      </c>
      <c r="U58" s="12">
        <v>89</v>
      </c>
      <c r="V58" s="12">
        <v>89</v>
      </c>
      <c r="W58" s="12">
        <v>74</v>
      </c>
      <c r="X58" s="12">
        <v>74</v>
      </c>
      <c r="Y58" s="12">
        <v>38</v>
      </c>
      <c r="Z58" s="12">
        <v>38</v>
      </c>
      <c r="AA58" s="14">
        <f t="shared" si="14"/>
        <v>667</v>
      </c>
      <c r="AB58" s="14">
        <f t="shared" si="15"/>
        <v>665</v>
      </c>
    </row>
    <row r="59" spans="2:28" ht="15">
      <c r="B59" s="4" t="s">
        <v>12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4">
        <f t="shared" si="14"/>
        <v>0</v>
      </c>
      <c r="AB59" s="14">
        <f t="shared" si="15"/>
        <v>0</v>
      </c>
    </row>
    <row r="60" spans="2:28" ht="20.25" customHeight="1">
      <c r="B60" s="4" t="s">
        <v>13</v>
      </c>
      <c r="C60" s="12">
        <v>179</v>
      </c>
      <c r="D60" s="12">
        <v>48</v>
      </c>
      <c r="E60" s="12">
        <v>234</v>
      </c>
      <c r="F60" s="12">
        <v>63</v>
      </c>
      <c r="G60" s="12"/>
      <c r="H60" s="12"/>
      <c r="I60" s="12">
        <v>172</v>
      </c>
      <c r="J60" s="12">
        <v>46</v>
      </c>
      <c r="K60" s="12">
        <v>226</v>
      </c>
      <c r="L60" s="12">
        <v>51</v>
      </c>
      <c r="M60" s="12">
        <v>307</v>
      </c>
      <c r="N60" s="12">
        <v>62</v>
      </c>
      <c r="O60" s="12"/>
      <c r="P60" s="12"/>
      <c r="Q60" s="12"/>
      <c r="R60" s="12"/>
      <c r="S60" s="12">
        <v>213</v>
      </c>
      <c r="T60" s="12">
        <v>43</v>
      </c>
      <c r="U60" s="12">
        <v>276</v>
      </c>
      <c r="V60" s="12">
        <v>51</v>
      </c>
      <c r="W60" s="12">
        <v>293</v>
      </c>
      <c r="X60" s="12">
        <v>63</v>
      </c>
      <c r="Y60" s="12">
        <v>113</v>
      </c>
      <c r="Z60" s="12">
        <v>42</v>
      </c>
      <c r="AA60" s="14">
        <f t="shared" si="14"/>
        <v>2013</v>
      </c>
      <c r="AB60" s="14">
        <f t="shared" si="15"/>
        <v>469</v>
      </c>
    </row>
    <row r="61" spans="2:28" ht="20.25" customHeight="1">
      <c r="B61" s="4" t="s">
        <v>14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4">
        <f t="shared" si="14"/>
        <v>0</v>
      </c>
      <c r="AB61" s="14">
        <f t="shared" si="15"/>
        <v>0</v>
      </c>
    </row>
    <row r="62" spans="2:28" ht="15">
      <c r="B62" s="5" t="s">
        <v>15</v>
      </c>
      <c r="C62" s="12">
        <v>42</v>
      </c>
      <c r="D62" s="12">
        <v>12</v>
      </c>
      <c r="E62" s="12">
        <v>110</v>
      </c>
      <c r="F62" s="12">
        <v>13</v>
      </c>
      <c r="G62" s="12"/>
      <c r="H62" s="12"/>
      <c r="I62" s="12">
        <v>66</v>
      </c>
      <c r="J62" s="12">
        <v>10</v>
      </c>
      <c r="K62" s="12">
        <v>68</v>
      </c>
      <c r="L62" s="12">
        <v>8</v>
      </c>
      <c r="M62" s="12">
        <v>104</v>
      </c>
      <c r="N62" s="12">
        <v>16</v>
      </c>
      <c r="O62" s="12"/>
      <c r="P62" s="12"/>
      <c r="Q62" s="12"/>
      <c r="R62" s="12"/>
      <c r="S62" s="12">
        <v>84</v>
      </c>
      <c r="T62" s="12">
        <v>10</v>
      </c>
      <c r="U62" s="12">
        <v>72</v>
      </c>
      <c r="V62" s="12">
        <v>6</v>
      </c>
      <c r="W62" s="12">
        <v>54</v>
      </c>
      <c r="X62" s="12">
        <v>9</v>
      </c>
      <c r="Y62" s="12">
        <v>26</v>
      </c>
      <c r="Z62" s="12">
        <v>6</v>
      </c>
      <c r="AA62" s="14">
        <f t="shared" si="14"/>
        <v>626</v>
      </c>
      <c r="AB62" s="14">
        <f t="shared" si="15"/>
        <v>90</v>
      </c>
    </row>
    <row r="63" spans="2:28" ht="15">
      <c r="B63" s="8" t="s">
        <v>16</v>
      </c>
      <c r="C63" s="13">
        <f>SUM(C55:C62)</f>
        <v>439</v>
      </c>
      <c r="D63" s="13">
        <f>SUM(D55:D62)</f>
        <v>210</v>
      </c>
      <c r="E63" s="13">
        <f>SUM(E55:E62)</f>
        <v>515</v>
      </c>
      <c r="F63" s="13">
        <f>SUM(F55:F62)</f>
        <v>199</v>
      </c>
      <c r="G63" s="13"/>
      <c r="H63" s="13"/>
      <c r="I63" s="13">
        <f t="shared" ref="I63:N63" si="16">SUM(I55:I62)</f>
        <v>381</v>
      </c>
      <c r="J63" s="13">
        <f t="shared" si="16"/>
        <v>163</v>
      </c>
      <c r="K63" s="13">
        <f t="shared" si="16"/>
        <v>509</v>
      </c>
      <c r="L63" s="13">
        <f t="shared" si="16"/>
        <v>214</v>
      </c>
      <c r="M63" s="13">
        <f t="shared" si="16"/>
        <v>628</v>
      </c>
      <c r="N63" s="13">
        <f t="shared" si="16"/>
        <v>221</v>
      </c>
      <c r="O63" s="13"/>
      <c r="P63" s="13"/>
      <c r="Q63" s="13"/>
      <c r="R63" s="13"/>
      <c r="S63" s="13">
        <f t="shared" ref="S63:Z63" si="17">SUM(S55:S62)</f>
        <v>455</v>
      </c>
      <c r="T63" s="13">
        <f t="shared" si="17"/>
        <v>178</v>
      </c>
      <c r="U63" s="13">
        <f t="shared" si="17"/>
        <v>551</v>
      </c>
      <c r="V63" s="13">
        <f t="shared" si="17"/>
        <v>215</v>
      </c>
      <c r="W63" s="13">
        <f t="shared" si="17"/>
        <v>524</v>
      </c>
      <c r="X63" s="13">
        <f t="shared" si="17"/>
        <v>226</v>
      </c>
      <c r="Y63" s="13">
        <f t="shared" si="17"/>
        <v>212</v>
      </c>
      <c r="Z63" s="13">
        <f t="shared" si="17"/>
        <v>117</v>
      </c>
      <c r="AA63" s="13">
        <f>SUM(AA55:AA62)</f>
        <v>4214</v>
      </c>
      <c r="AB63" s="13">
        <f>SUM(AB55:AB62)</f>
        <v>1743</v>
      </c>
    </row>
    <row r="64" spans="2:28" ht="15">
      <c r="B64" s="6" t="s">
        <v>17</v>
      </c>
      <c r="C64" s="12">
        <v>1</v>
      </c>
      <c r="D64" s="12">
        <v>12</v>
      </c>
      <c r="E64" s="12">
        <v>1</v>
      </c>
      <c r="F64" s="12">
        <v>8</v>
      </c>
      <c r="G64" s="12"/>
      <c r="H64" s="12"/>
      <c r="I64" s="12">
        <v>2</v>
      </c>
      <c r="J64" s="12">
        <v>20</v>
      </c>
      <c r="K64" s="12">
        <v>2</v>
      </c>
      <c r="L64" s="12">
        <v>27</v>
      </c>
      <c r="M64" s="12">
        <v>2</v>
      </c>
      <c r="N64" s="12">
        <v>40</v>
      </c>
      <c r="O64" s="12"/>
      <c r="P64" s="12"/>
      <c r="Q64" s="12"/>
      <c r="R64" s="12"/>
      <c r="S64" s="12">
        <v>2</v>
      </c>
      <c r="T64" s="12">
        <v>23</v>
      </c>
      <c r="U64" s="12">
        <v>1</v>
      </c>
      <c r="V64" s="12">
        <v>16</v>
      </c>
      <c r="W64" s="12">
        <v>1</v>
      </c>
      <c r="X64" s="12">
        <v>19</v>
      </c>
      <c r="Y64" s="12">
        <v>6</v>
      </c>
      <c r="Z64" s="12">
        <v>350</v>
      </c>
      <c r="AA64" s="14">
        <f>+C64+E64+G64+I64+K64+M64+O64+Q64++S64+U64+W64+Y64</f>
        <v>18</v>
      </c>
      <c r="AB64" s="14">
        <f>+D64+F64+H64+J64+L64+N64+P64+R64+T64+V64+X64+Z64</f>
        <v>515</v>
      </c>
    </row>
    <row r="65" spans="2:28" ht="15">
      <c r="B65" s="9" t="s">
        <v>16</v>
      </c>
      <c r="C65" s="13">
        <f>SUM(C64)</f>
        <v>1</v>
      </c>
      <c r="D65" s="13">
        <f>SUM(D64)</f>
        <v>12</v>
      </c>
      <c r="E65" s="13">
        <f>SUM(E64)</f>
        <v>1</v>
      </c>
      <c r="F65" s="13">
        <f>SUM(F64)</f>
        <v>8</v>
      </c>
      <c r="G65" s="13"/>
      <c r="H65" s="13"/>
      <c r="I65" s="13">
        <f>SUM(I64)</f>
        <v>2</v>
      </c>
      <c r="J65" s="13">
        <f>SUM(J64)</f>
        <v>20</v>
      </c>
      <c r="K65" s="13"/>
      <c r="L65" s="13"/>
      <c r="M65" s="13">
        <f>SUM(M64)</f>
        <v>2</v>
      </c>
      <c r="N65" s="13">
        <f>SUM(N64)</f>
        <v>40</v>
      </c>
      <c r="O65" s="13"/>
      <c r="P65" s="13"/>
      <c r="Q65" s="13"/>
      <c r="R65" s="13"/>
      <c r="S65" s="13">
        <f t="shared" ref="S65:Z65" si="18">SUM(S64)</f>
        <v>2</v>
      </c>
      <c r="T65" s="13">
        <f t="shared" si="18"/>
        <v>23</v>
      </c>
      <c r="U65" s="13">
        <f t="shared" si="18"/>
        <v>1</v>
      </c>
      <c r="V65" s="13">
        <f t="shared" si="18"/>
        <v>16</v>
      </c>
      <c r="W65" s="13">
        <f t="shared" si="18"/>
        <v>1</v>
      </c>
      <c r="X65" s="13">
        <f t="shared" si="18"/>
        <v>19</v>
      </c>
      <c r="Y65" s="13">
        <f t="shared" si="18"/>
        <v>6</v>
      </c>
      <c r="Z65" s="13">
        <f t="shared" si="18"/>
        <v>350</v>
      </c>
      <c r="AA65" s="13">
        <f>+C65+E65+G65+I65+K65+M65+O65+Q65++S65+U65+W65+Y65</f>
        <v>16</v>
      </c>
      <c r="AB65" s="13">
        <f>+D65+F65+H65+J65+L65+N65+P65+R65+T65+V65+X65+Z65</f>
        <v>488</v>
      </c>
    </row>
    <row r="66" spans="2:28" ht="15">
      <c r="B66" s="7" t="s">
        <v>18</v>
      </c>
      <c r="C66" s="12">
        <v>10</v>
      </c>
      <c r="D66" s="12">
        <v>10</v>
      </c>
      <c r="E66" s="12">
        <v>15</v>
      </c>
      <c r="F66" s="12">
        <v>15</v>
      </c>
      <c r="G66" s="12"/>
      <c r="H66" s="12"/>
      <c r="I66" s="12">
        <v>16</v>
      </c>
      <c r="J66" s="12">
        <v>16</v>
      </c>
      <c r="K66" s="12">
        <v>15</v>
      </c>
      <c r="L66" s="12">
        <v>15</v>
      </c>
      <c r="M66" s="12">
        <v>16</v>
      </c>
      <c r="N66" s="12">
        <v>16</v>
      </c>
      <c r="O66" s="12"/>
      <c r="P66" s="12"/>
      <c r="Q66" s="12"/>
      <c r="R66" s="12"/>
      <c r="S66" s="12">
        <v>19</v>
      </c>
      <c r="T66" s="12">
        <v>19</v>
      </c>
      <c r="U66" s="12">
        <v>19</v>
      </c>
      <c r="V66" s="12">
        <v>19</v>
      </c>
      <c r="W66" s="12">
        <v>21</v>
      </c>
      <c r="X66" s="12">
        <v>21</v>
      </c>
      <c r="Y66" s="12">
        <v>16</v>
      </c>
      <c r="Z66" s="12">
        <v>16</v>
      </c>
      <c r="AA66" s="15">
        <f>+C66+E66+G66+K66+I66+M66+O66+Q66+S66+U66+W66+Y66</f>
        <v>147</v>
      </c>
      <c r="AB66" s="15">
        <f>+D66+F66+H66+J66+L66+N66+P66+R66+T66+V66+X66+Z66</f>
        <v>147</v>
      </c>
    </row>
    <row r="67" spans="2:28" ht="37.5" customHeight="1">
      <c r="B67" s="10" t="s">
        <v>16</v>
      </c>
      <c r="C67" s="13">
        <f>SUM(C66)</f>
        <v>10</v>
      </c>
      <c r="D67" s="13">
        <f>SUM(D66)</f>
        <v>10</v>
      </c>
      <c r="E67" s="13">
        <f>SUM(E66)</f>
        <v>15</v>
      </c>
      <c r="F67" s="13">
        <f>SUM(F66)</f>
        <v>15</v>
      </c>
      <c r="G67" s="13"/>
      <c r="H67" s="13"/>
      <c r="I67" s="13">
        <f t="shared" ref="I67:N67" si="19">SUM(I66)</f>
        <v>16</v>
      </c>
      <c r="J67" s="13">
        <f t="shared" si="19"/>
        <v>16</v>
      </c>
      <c r="K67" s="13">
        <f t="shared" si="19"/>
        <v>15</v>
      </c>
      <c r="L67" s="13">
        <f t="shared" si="19"/>
        <v>15</v>
      </c>
      <c r="M67" s="13">
        <f t="shared" si="19"/>
        <v>16</v>
      </c>
      <c r="N67" s="13">
        <f t="shared" si="19"/>
        <v>16</v>
      </c>
      <c r="O67" s="13"/>
      <c r="P67" s="13"/>
      <c r="Q67" s="13"/>
      <c r="R67" s="13"/>
      <c r="S67" s="13">
        <f t="shared" ref="S67:Z67" si="20">SUM(S66)</f>
        <v>19</v>
      </c>
      <c r="T67" s="13">
        <f t="shared" si="20"/>
        <v>19</v>
      </c>
      <c r="U67" s="13">
        <f t="shared" si="20"/>
        <v>19</v>
      </c>
      <c r="V67" s="13">
        <f t="shared" si="20"/>
        <v>19</v>
      </c>
      <c r="W67" s="13">
        <f t="shared" si="20"/>
        <v>21</v>
      </c>
      <c r="X67" s="13">
        <f t="shared" si="20"/>
        <v>21</v>
      </c>
      <c r="Y67" s="13">
        <f t="shared" si="20"/>
        <v>16</v>
      </c>
      <c r="Z67" s="13">
        <f t="shared" si="20"/>
        <v>16</v>
      </c>
      <c r="AA67" s="16">
        <f>+C67+E67+G67+K67+I67+M67+O67+Q67+S67+U67+W67+Y67</f>
        <v>147</v>
      </c>
      <c r="AB67" s="16">
        <f>+D67+F67+H67+J67+L67+N67+P67+R67+T67+V67+X67+Z67</f>
        <v>147</v>
      </c>
    </row>
    <row r="68" spans="2:28" ht="15">
      <c r="B68" s="21" t="s">
        <v>19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2">
        <f>+C68+E68+G68+I68+K68+M68+O68+S68+Q68+U68+W68+Y68</f>
        <v>0</v>
      </c>
      <c r="AB68" s="12">
        <f>+D68+F68+H68+J68+L68+N68+P68+R68+T68+V68+X68+Z68</f>
        <v>0</v>
      </c>
    </row>
    <row r="69" spans="2:28" ht="15">
      <c r="B69" s="22" t="s">
        <v>20</v>
      </c>
      <c r="C69" s="14">
        <v>21</v>
      </c>
      <c r="D69" s="14">
        <v>21</v>
      </c>
      <c r="E69" s="14">
        <v>16</v>
      </c>
      <c r="F69" s="14">
        <v>16</v>
      </c>
      <c r="G69" s="14"/>
      <c r="H69" s="14"/>
      <c r="I69" s="14">
        <v>9</v>
      </c>
      <c r="J69" s="14">
        <v>9</v>
      </c>
      <c r="K69" s="14">
        <v>12</v>
      </c>
      <c r="L69" s="14">
        <v>12</v>
      </c>
      <c r="M69" s="14">
        <v>10</v>
      </c>
      <c r="N69" s="14">
        <v>10</v>
      </c>
      <c r="O69" s="14"/>
      <c r="P69" s="14"/>
      <c r="Q69" s="14"/>
      <c r="R69" s="14"/>
      <c r="S69" s="14">
        <v>11</v>
      </c>
      <c r="T69" s="14">
        <v>11</v>
      </c>
      <c r="U69" s="14">
        <v>15</v>
      </c>
      <c r="V69" s="14">
        <v>15</v>
      </c>
      <c r="W69" s="14">
        <v>12</v>
      </c>
      <c r="X69" s="14">
        <v>12</v>
      </c>
      <c r="Y69" s="14">
        <v>8</v>
      </c>
      <c r="Z69" s="14">
        <v>8</v>
      </c>
      <c r="AA69" s="12">
        <f>+C69+E69+G69+I69+K69+M69+O69+S69+Q69+U69+W69+Y69</f>
        <v>114</v>
      </c>
      <c r="AB69" s="12">
        <f t="shared" ref="AB69:AB71" si="21">+D69+F69+H69+J69+L69+N69+P69+R69+T69+V69+X69+Z69</f>
        <v>114</v>
      </c>
    </row>
    <row r="70" spans="2:28" ht="15">
      <c r="B70" s="49" t="s">
        <v>31</v>
      </c>
      <c r="C70" s="14"/>
      <c r="D70" s="14"/>
      <c r="E70" s="14"/>
      <c r="F70" s="14"/>
      <c r="G70" s="14"/>
      <c r="H70" s="14"/>
      <c r="I70" s="14"/>
      <c r="J70" s="14"/>
      <c r="K70" s="14">
        <v>43</v>
      </c>
      <c r="L70" s="14">
        <v>43</v>
      </c>
      <c r="M70" s="14">
        <v>54</v>
      </c>
      <c r="N70" s="14">
        <v>54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2">
        <f>+C70+E70+G70+I70+K70+M70+O70+Q70+S70+U70+W70+Y70</f>
        <v>97</v>
      </c>
      <c r="AB70" s="12">
        <f>+D70+F70+H70+J70+L70+N70+P70+R70+T70+V70+X70+Z70</f>
        <v>97</v>
      </c>
    </row>
    <row r="71" spans="2:28" ht="15">
      <c r="B71" s="10" t="s">
        <v>16</v>
      </c>
      <c r="C71" s="13">
        <f>SUM(C69)</f>
        <v>21</v>
      </c>
      <c r="D71" s="13">
        <f>SUM(D69)</f>
        <v>21</v>
      </c>
      <c r="E71" s="13">
        <f>SUM(E69)</f>
        <v>16</v>
      </c>
      <c r="F71" s="13">
        <f>SUM(F69)</f>
        <v>16</v>
      </c>
      <c r="G71" s="13"/>
      <c r="H71" s="13"/>
      <c r="I71" s="13">
        <f>SUM(I69)</f>
        <v>9</v>
      </c>
      <c r="J71" s="13">
        <f>SUM(J69)</f>
        <v>9</v>
      </c>
      <c r="K71" s="13">
        <f>SUM(K69:K70)</f>
        <v>55</v>
      </c>
      <c r="L71" s="13">
        <f>SUM(L69:L70)</f>
        <v>55</v>
      </c>
      <c r="M71" s="13">
        <f>SUM(M69:M70)</f>
        <v>64</v>
      </c>
      <c r="N71" s="13">
        <f>SUM(N69:N70)</f>
        <v>64</v>
      </c>
      <c r="O71" s="13"/>
      <c r="P71" s="13"/>
      <c r="Q71" s="13"/>
      <c r="R71" s="13"/>
      <c r="S71" s="13">
        <f t="shared" ref="S71:Z71" si="22">SUM(S69:S70)</f>
        <v>11</v>
      </c>
      <c r="T71" s="13">
        <f t="shared" si="22"/>
        <v>11</v>
      </c>
      <c r="U71" s="13">
        <f t="shared" si="22"/>
        <v>15</v>
      </c>
      <c r="V71" s="13">
        <f t="shared" si="22"/>
        <v>15</v>
      </c>
      <c r="W71" s="13">
        <f t="shared" si="22"/>
        <v>12</v>
      </c>
      <c r="X71" s="13">
        <f t="shared" si="22"/>
        <v>12</v>
      </c>
      <c r="Y71" s="13">
        <f t="shared" si="22"/>
        <v>8</v>
      </c>
      <c r="Z71" s="13">
        <f t="shared" si="22"/>
        <v>8</v>
      </c>
      <c r="AA71" s="13">
        <f>+C71+E71+G71+I71+K71+M71+O71+S71+Q71+U71+W71+Y71</f>
        <v>211</v>
      </c>
      <c r="AB71" s="13">
        <f t="shared" si="21"/>
        <v>211</v>
      </c>
    </row>
    <row r="72" spans="2:28" ht="15">
      <c r="B72" s="78"/>
      <c r="C72" s="78"/>
      <c r="D72" s="78"/>
    </row>
    <row r="73" spans="2:28" ht="15">
      <c r="B73" s="20"/>
    </row>
    <row r="74" spans="2:28" ht="15.75" customHeight="1">
      <c r="B74" s="79" t="s">
        <v>32</v>
      </c>
      <c r="C74" s="81" t="s">
        <v>22</v>
      </c>
      <c r="D74" s="82"/>
      <c r="E74" s="81" t="s">
        <v>23</v>
      </c>
      <c r="F74" s="82"/>
      <c r="G74" s="81" t="s">
        <v>24</v>
      </c>
      <c r="H74" s="82"/>
      <c r="I74" s="81" t="s">
        <v>25</v>
      </c>
      <c r="J74" s="82"/>
      <c r="K74" s="81" t="s">
        <v>26</v>
      </c>
      <c r="L74" s="82"/>
      <c r="M74" s="81" t="s">
        <v>27</v>
      </c>
      <c r="N74" s="82"/>
      <c r="O74" s="81" t="s">
        <v>28</v>
      </c>
      <c r="P74" s="82"/>
      <c r="Q74" s="81" t="s">
        <v>29</v>
      </c>
      <c r="R74" s="82"/>
      <c r="S74" s="81" t="s">
        <v>1</v>
      </c>
      <c r="T74" s="82"/>
      <c r="U74" s="81" t="s">
        <v>2</v>
      </c>
      <c r="V74" s="82"/>
      <c r="W74" s="81" t="s">
        <v>3</v>
      </c>
      <c r="X74" s="82"/>
      <c r="Y74" s="81" t="s">
        <v>4</v>
      </c>
      <c r="Z74" s="82"/>
      <c r="AA74" s="81" t="s">
        <v>5</v>
      </c>
      <c r="AB74" s="82"/>
    </row>
    <row r="75" spans="2:28" s="2" customFormat="1" ht="31.5">
      <c r="B75" s="80"/>
      <c r="C75" s="18" t="s">
        <v>6</v>
      </c>
      <c r="D75" s="18" t="s">
        <v>7</v>
      </c>
      <c r="E75" s="18" t="s">
        <v>6</v>
      </c>
      <c r="F75" s="18" t="s">
        <v>7</v>
      </c>
      <c r="G75" s="18" t="s">
        <v>6</v>
      </c>
      <c r="H75" s="18" t="s">
        <v>7</v>
      </c>
      <c r="I75" s="18" t="s">
        <v>6</v>
      </c>
      <c r="J75" s="18" t="s">
        <v>7</v>
      </c>
      <c r="K75" s="18" t="s">
        <v>6</v>
      </c>
      <c r="L75" s="18" t="s">
        <v>7</v>
      </c>
      <c r="M75" s="18" t="s">
        <v>6</v>
      </c>
      <c r="N75" s="18" t="s">
        <v>7</v>
      </c>
      <c r="O75" s="18" t="s">
        <v>6</v>
      </c>
      <c r="P75" s="18" t="s">
        <v>7</v>
      </c>
      <c r="Q75" s="18" t="s">
        <v>6</v>
      </c>
      <c r="R75" s="18" t="s">
        <v>7</v>
      </c>
      <c r="S75" s="18" t="s">
        <v>6</v>
      </c>
      <c r="T75" s="18" t="s">
        <v>7</v>
      </c>
      <c r="U75" s="18" t="s">
        <v>6</v>
      </c>
      <c r="V75" s="18" t="s">
        <v>7</v>
      </c>
      <c r="W75" s="18" t="s">
        <v>6</v>
      </c>
      <c r="X75" s="18" t="s">
        <v>7</v>
      </c>
      <c r="Y75" s="18" t="s">
        <v>6</v>
      </c>
      <c r="Z75" s="18" t="s">
        <v>7</v>
      </c>
      <c r="AA75" s="19" t="s">
        <v>6</v>
      </c>
      <c r="AB75" s="19" t="s">
        <v>7</v>
      </c>
    </row>
    <row r="76" spans="2:28" ht="20.25" customHeight="1">
      <c r="B76" s="3" t="s">
        <v>8</v>
      </c>
      <c r="C76" s="12">
        <v>29</v>
      </c>
      <c r="D76" s="12">
        <v>29</v>
      </c>
      <c r="E76" s="12">
        <v>22</v>
      </c>
      <c r="F76" s="12">
        <v>22</v>
      </c>
      <c r="G76" s="12">
        <v>26</v>
      </c>
      <c r="H76" s="12">
        <v>26</v>
      </c>
      <c r="I76" s="12">
        <v>38</v>
      </c>
      <c r="J76" s="12">
        <v>38</v>
      </c>
      <c r="K76" s="12">
        <v>46</v>
      </c>
      <c r="L76" s="12">
        <v>46</v>
      </c>
      <c r="M76" s="12">
        <v>27</v>
      </c>
      <c r="N76" s="12">
        <v>27</v>
      </c>
      <c r="O76" s="12">
        <v>36</v>
      </c>
      <c r="P76" s="12">
        <v>36</v>
      </c>
      <c r="Q76" s="12">
        <v>35</v>
      </c>
      <c r="R76" s="12">
        <v>35</v>
      </c>
      <c r="S76" s="12">
        <v>30</v>
      </c>
      <c r="T76" s="12">
        <v>30</v>
      </c>
      <c r="U76" s="12">
        <v>15</v>
      </c>
      <c r="V76" s="12">
        <v>15</v>
      </c>
      <c r="W76" s="12">
        <v>31</v>
      </c>
      <c r="X76" s="12">
        <v>31</v>
      </c>
      <c r="Y76" s="12">
        <v>13</v>
      </c>
      <c r="Z76" s="12">
        <v>13</v>
      </c>
      <c r="AA76" s="14">
        <f>+S76+U76+W76+Y76</f>
        <v>89</v>
      </c>
      <c r="AB76" s="14">
        <f>+T76+V76+X76+Z76</f>
        <v>89</v>
      </c>
    </row>
    <row r="77" spans="2:28" ht="20.25" customHeight="1">
      <c r="B77" s="4" t="s">
        <v>9</v>
      </c>
      <c r="C77" s="12">
        <v>33</v>
      </c>
      <c r="D77" s="12">
        <v>25</v>
      </c>
      <c r="E77" s="12">
        <v>37</v>
      </c>
      <c r="F77" s="12">
        <v>27</v>
      </c>
      <c r="G77" s="12">
        <v>36</v>
      </c>
      <c r="H77" s="12">
        <v>24</v>
      </c>
      <c r="I77" s="12">
        <v>35</v>
      </c>
      <c r="J77" s="12">
        <v>18</v>
      </c>
      <c r="K77" s="12">
        <v>36</v>
      </c>
      <c r="L77" s="12">
        <v>16</v>
      </c>
      <c r="M77" s="12">
        <v>31</v>
      </c>
      <c r="N77" s="12">
        <v>25</v>
      </c>
      <c r="O77" s="12">
        <v>14</v>
      </c>
      <c r="P77" s="12">
        <v>11</v>
      </c>
      <c r="Q77" s="12">
        <v>25</v>
      </c>
      <c r="R77" s="12">
        <v>13</v>
      </c>
      <c r="S77" s="12">
        <v>33</v>
      </c>
      <c r="T77" s="12">
        <v>17</v>
      </c>
      <c r="U77" s="12">
        <v>43</v>
      </c>
      <c r="V77" s="12">
        <v>19</v>
      </c>
      <c r="W77" s="12">
        <v>30</v>
      </c>
      <c r="X77" s="12">
        <v>16</v>
      </c>
      <c r="Y77" s="12">
        <v>17</v>
      </c>
      <c r="Z77" s="12">
        <v>12</v>
      </c>
      <c r="AA77" s="14">
        <f t="shared" ref="AA77:AA83" si="23">+S77+U77+W77+Y77</f>
        <v>123</v>
      </c>
      <c r="AB77" s="14">
        <f t="shared" ref="AB77:AB83" si="24">+T77+V77+X77+Z77</f>
        <v>64</v>
      </c>
    </row>
    <row r="78" spans="2:28" ht="20.25" customHeight="1">
      <c r="B78" s="4" t="s">
        <v>10</v>
      </c>
      <c r="C78" s="12">
        <v>11</v>
      </c>
      <c r="D78" s="12">
        <v>5</v>
      </c>
      <c r="E78" s="12">
        <v>35</v>
      </c>
      <c r="F78" s="12">
        <v>8</v>
      </c>
      <c r="G78" s="12">
        <v>31</v>
      </c>
      <c r="H78" s="12">
        <v>9</v>
      </c>
      <c r="I78" s="12">
        <v>34</v>
      </c>
      <c r="J78" s="12">
        <v>10</v>
      </c>
      <c r="K78" s="12">
        <v>45</v>
      </c>
      <c r="L78" s="12">
        <v>10</v>
      </c>
      <c r="M78" s="12">
        <v>31</v>
      </c>
      <c r="N78" s="12">
        <v>8</v>
      </c>
      <c r="O78" s="12">
        <v>18</v>
      </c>
      <c r="P78" s="12">
        <v>7</v>
      </c>
      <c r="Q78" s="12">
        <v>28</v>
      </c>
      <c r="R78" s="12">
        <v>8</v>
      </c>
      <c r="S78" s="12">
        <v>31</v>
      </c>
      <c r="T78" s="12">
        <v>9</v>
      </c>
      <c r="U78" s="12">
        <v>32</v>
      </c>
      <c r="V78" s="12">
        <v>8</v>
      </c>
      <c r="W78" s="12">
        <v>37</v>
      </c>
      <c r="X78" s="12">
        <v>10</v>
      </c>
      <c r="Y78" s="12">
        <v>16</v>
      </c>
      <c r="Z78" s="12">
        <v>5</v>
      </c>
      <c r="AA78" s="14">
        <f t="shared" si="23"/>
        <v>116</v>
      </c>
      <c r="AB78" s="14">
        <f t="shared" si="24"/>
        <v>32</v>
      </c>
    </row>
    <row r="79" spans="2:28" ht="20.25" customHeight="1">
      <c r="B79" s="4" t="s">
        <v>11</v>
      </c>
      <c r="C79" s="12">
        <v>62</v>
      </c>
      <c r="D79" s="12">
        <v>62</v>
      </c>
      <c r="E79" s="12">
        <v>80</v>
      </c>
      <c r="F79" s="12">
        <v>80</v>
      </c>
      <c r="G79" s="12">
        <v>68</v>
      </c>
      <c r="H79" s="12">
        <v>68</v>
      </c>
      <c r="I79" s="12">
        <v>90</v>
      </c>
      <c r="J79" s="12">
        <v>90</v>
      </c>
      <c r="K79" s="12">
        <v>97</v>
      </c>
      <c r="L79" s="12">
        <v>97</v>
      </c>
      <c r="M79" s="12">
        <v>74</v>
      </c>
      <c r="N79" s="12">
        <v>74</v>
      </c>
      <c r="O79" s="12">
        <v>44</v>
      </c>
      <c r="P79" s="12">
        <v>44</v>
      </c>
      <c r="Q79" s="12">
        <v>50</v>
      </c>
      <c r="R79" s="12">
        <v>50</v>
      </c>
      <c r="S79" s="12">
        <v>44</v>
      </c>
      <c r="T79" s="12">
        <v>44</v>
      </c>
      <c r="U79" s="12">
        <v>57</v>
      </c>
      <c r="V79" s="12">
        <v>57</v>
      </c>
      <c r="W79" s="12">
        <v>49</v>
      </c>
      <c r="X79" s="12">
        <v>49</v>
      </c>
      <c r="Y79" s="12">
        <v>24</v>
      </c>
      <c r="Z79" s="12">
        <v>24</v>
      </c>
      <c r="AA79" s="14">
        <f t="shared" si="23"/>
        <v>174</v>
      </c>
      <c r="AB79" s="14">
        <f t="shared" si="24"/>
        <v>174</v>
      </c>
    </row>
    <row r="80" spans="2:28" ht="15">
      <c r="B80" s="4" t="s">
        <v>12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4">
        <f t="shared" si="23"/>
        <v>0</v>
      </c>
      <c r="AB80" s="14">
        <f t="shared" si="24"/>
        <v>0</v>
      </c>
    </row>
    <row r="81" spans="2:28" ht="20.25" customHeight="1">
      <c r="B81" s="4" t="s">
        <v>13</v>
      </c>
      <c r="C81" s="12">
        <v>163</v>
      </c>
      <c r="D81" s="12">
        <v>37</v>
      </c>
      <c r="E81" s="12">
        <v>136</v>
      </c>
      <c r="F81" s="12">
        <v>29</v>
      </c>
      <c r="G81" s="12">
        <v>161</v>
      </c>
      <c r="H81" s="12">
        <v>37</v>
      </c>
      <c r="I81" s="12">
        <v>226</v>
      </c>
      <c r="J81" s="12">
        <v>52</v>
      </c>
      <c r="K81" s="12">
        <v>307</v>
      </c>
      <c r="L81" s="12">
        <v>66</v>
      </c>
      <c r="M81" s="12">
        <v>308</v>
      </c>
      <c r="N81" s="12">
        <v>61</v>
      </c>
      <c r="O81" s="12">
        <v>108</v>
      </c>
      <c r="P81" s="12">
        <v>37</v>
      </c>
      <c r="Q81" s="12">
        <v>98</v>
      </c>
      <c r="R81" s="12">
        <v>28</v>
      </c>
      <c r="S81" s="12">
        <v>111</v>
      </c>
      <c r="T81" s="12">
        <v>25</v>
      </c>
      <c r="U81" s="12">
        <v>120</v>
      </c>
      <c r="V81" s="12">
        <v>25</v>
      </c>
      <c r="W81" s="12">
        <v>113</v>
      </c>
      <c r="X81" s="12">
        <v>31</v>
      </c>
      <c r="Y81" s="12">
        <v>73</v>
      </c>
      <c r="Z81" s="12">
        <v>24</v>
      </c>
      <c r="AA81" s="14">
        <f t="shared" si="23"/>
        <v>417</v>
      </c>
      <c r="AB81" s="14">
        <f t="shared" si="24"/>
        <v>105</v>
      </c>
    </row>
    <row r="82" spans="2:28" ht="20.25" customHeight="1">
      <c r="B82" s="4" t="s">
        <v>14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4">
        <f t="shared" si="23"/>
        <v>0</v>
      </c>
      <c r="AB82" s="14">
        <f t="shared" si="24"/>
        <v>0</v>
      </c>
    </row>
    <row r="83" spans="2:28" ht="15">
      <c r="B83" s="5" t="s">
        <v>15</v>
      </c>
      <c r="C83" s="12">
        <v>60</v>
      </c>
      <c r="D83" s="12">
        <v>9</v>
      </c>
      <c r="E83" s="12">
        <v>64</v>
      </c>
      <c r="F83" s="12">
        <v>9</v>
      </c>
      <c r="G83" s="12">
        <v>170</v>
      </c>
      <c r="H83" s="12">
        <v>37</v>
      </c>
      <c r="I83" s="12">
        <v>58</v>
      </c>
      <c r="J83" s="12">
        <v>10</v>
      </c>
      <c r="K83" s="12">
        <v>68</v>
      </c>
      <c r="L83" s="12">
        <v>9</v>
      </c>
      <c r="M83" s="12">
        <v>84</v>
      </c>
      <c r="N83" s="12">
        <v>8</v>
      </c>
      <c r="O83" s="12">
        <v>32</v>
      </c>
      <c r="P83" s="12">
        <v>6</v>
      </c>
      <c r="Q83" s="12">
        <v>26</v>
      </c>
      <c r="R83" s="12">
        <v>4</v>
      </c>
      <c r="S83" s="12">
        <v>30</v>
      </c>
      <c r="T83" s="12">
        <v>3</v>
      </c>
      <c r="U83" s="12">
        <v>6</v>
      </c>
      <c r="V83" s="12">
        <v>1</v>
      </c>
      <c r="W83" s="12">
        <v>14</v>
      </c>
      <c r="X83" s="12">
        <v>4</v>
      </c>
      <c r="Y83" s="12">
        <v>10</v>
      </c>
      <c r="Z83" s="12">
        <v>3</v>
      </c>
      <c r="AA83" s="14">
        <f t="shared" si="23"/>
        <v>60</v>
      </c>
      <c r="AB83" s="14">
        <f t="shared" si="24"/>
        <v>11</v>
      </c>
    </row>
    <row r="84" spans="2:28" ht="15">
      <c r="B84" s="8" t="s">
        <v>16</v>
      </c>
      <c r="C84" s="13">
        <f t="shared" ref="C84:T84" si="25">SUM(C76:C83)</f>
        <v>358</v>
      </c>
      <c r="D84" s="13">
        <f t="shared" si="25"/>
        <v>167</v>
      </c>
      <c r="E84" s="13">
        <f t="shared" si="25"/>
        <v>374</v>
      </c>
      <c r="F84" s="13">
        <f t="shared" si="25"/>
        <v>175</v>
      </c>
      <c r="G84" s="13">
        <f t="shared" si="25"/>
        <v>492</v>
      </c>
      <c r="H84" s="13">
        <f t="shared" si="25"/>
        <v>201</v>
      </c>
      <c r="I84" s="13">
        <f t="shared" si="25"/>
        <v>481</v>
      </c>
      <c r="J84" s="13">
        <f t="shared" si="25"/>
        <v>218</v>
      </c>
      <c r="K84" s="13">
        <f t="shared" si="25"/>
        <v>599</v>
      </c>
      <c r="L84" s="13">
        <f t="shared" si="25"/>
        <v>244</v>
      </c>
      <c r="M84" s="13">
        <f t="shared" si="25"/>
        <v>555</v>
      </c>
      <c r="N84" s="13">
        <f t="shared" si="25"/>
        <v>203</v>
      </c>
      <c r="O84" s="13">
        <f t="shared" si="25"/>
        <v>252</v>
      </c>
      <c r="P84" s="13">
        <f t="shared" si="25"/>
        <v>141</v>
      </c>
      <c r="Q84" s="13">
        <f t="shared" si="25"/>
        <v>262</v>
      </c>
      <c r="R84" s="13">
        <f t="shared" si="25"/>
        <v>138</v>
      </c>
      <c r="S84" s="13">
        <f t="shared" si="25"/>
        <v>279</v>
      </c>
      <c r="T84" s="13">
        <f t="shared" si="25"/>
        <v>128</v>
      </c>
      <c r="U84" s="13">
        <f t="shared" ref="U84:Z84" si="26">SUM(U76:U83)</f>
        <v>273</v>
      </c>
      <c r="V84" s="13">
        <f t="shared" si="26"/>
        <v>125</v>
      </c>
      <c r="W84" s="13">
        <f t="shared" si="26"/>
        <v>274</v>
      </c>
      <c r="X84" s="13">
        <f t="shared" si="26"/>
        <v>141</v>
      </c>
      <c r="Y84" s="13">
        <f t="shared" si="26"/>
        <v>153</v>
      </c>
      <c r="Z84" s="13">
        <f t="shared" si="26"/>
        <v>81</v>
      </c>
      <c r="AA84" s="13">
        <f>SUM(AA76:AA83)</f>
        <v>979</v>
      </c>
      <c r="AB84" s="13">
        <f>SUM(AB76:AB83)</f>
        <v>475</v>
      </c>
    </row>
    <row r="85" spans="2:28" ht="15">
      <c r="B85" s="6" t="s">
        <v>17</v>
      </c>
      <c r="C85" s="12">
        <v>5</v>
      </c>
      <c r="D85" s="12">
        <v>73</v>
      </c>
      <c r="E85" s="12">
        <v>5</v>
      </c>
      <c r="F85" s="12">
        <v>70</v>
      </c>
      <c r="G85" s="12">
        <v>4</v>
      </c>
      <c r="H85" s="12">
        <v>215</v>
      </c>
      <c r="I85" s="12">
        <v>4</v>
      </c>
      <c r="J85" s="12">
        <v>62</v>
      </c>
      <c r="K85" s="12">
        <v>7</v>
      </c>
      <c r="L85" s="12">
        <v>85</v>
      </c>
      <c r="M85" s="12">
        <v>2</v>
      </c>
      <c r="N85" s="12">
        <v>30</v>
      </c>
      <c r="O85" s="12">
        <v>1</v>
      </c>
      <c r="P85" s="12">
        <v>15</v>
      </c>
      <c r="Q85" s="12">
        <v>2</v>
      </c>
      <c r="R85" s="12">
        <v>72</v>
      </c>
      <c r="S85" s="12">
        <v>2</v>
      </c>
      <c r="T85" s="12">
        <v>18</v>
      </c>
      <c r="U85" s="12">
        <v>2</v>
      </c>
      <c r="V85" s="12">
        <v>23</v>
      </c>
      <c r="W85" s="12">
        <v>3</v>
      </c>
      <c r="X85" s="12">
        <v>50</v>
      </c>
      <c r="Y85" s="12">
        <v>3</v>
      </c>
      <c r="Z85" s="12">
        <v>64</v>
      </c>
      <c r="AA85" s="14">
        <f>+S85+U85+W85+Y85</f>
        <v>10</v>
      </c>
      <c r="AB85" s="14">
        <f>+V85+X85+Z85+T85</f>
        <v>155</v>
      </c>
    </row>
    <row r="86" spans="2:28" ht="15">
      <c r="B86" s="9" t="s">
        <v>16</v>
      </c>
      <c r="C86" s="13">
        <f t="shared" ref="C86:T86" si="27">SUM(C85)</f>
        <v>5</v>
      </c>
      <c r="D86" s="13">
        <f t="shared" si="27"/>
        <v>73</v>
      </c>
      <c r="E86" s="13">
        <f t="shared" si="27"/>
        <v>5</v>
      </c>
      <c r="F86" s="13">
        <f t="shared" si="27"/>
        <v>70</v>
      </c>
      <c r="G86" s="13">
        <f t="shared" si="27"/>
        <v>4</v>
      </c>
      <c r="H86" s="13">
        <f t="shared" si="27"/>
        <v>215</v>
      </c>
      <c r="I86" s="13">
        <f t="shared" si="27"/>
        <v>4</v>
      </c>
      <c r="J86" s="13">
        <f t="shared" si="27"/>
        <v>62</v>
      </c>
      <c r="K86" s="13">
        <f t="shared" si="27"/>
        <v>7</v>
      </c>
      <c r="L86" s="13">
        <f t="shared" si="27"/>
        <v>85</v>
      </c>
      <c r="M86" s="13">
        <f t="shared" si="27"/>
        <v>2</v>
      </c>
      <c r="N86" s="13">
        <f t="shared" si="27"/>
        <v>30</v>
      </c>
      <c r="O86" s="13">
        <f t="shared" si="27"/>
        <v>1</v>
      </c>
      <c r="P86" s="13">
        <f t="shared" si="27"/>
        <v>15</v>
      </c>
      <c r="Q86" s="13">
        <f t="shared" si="27"/>
        <v>2</v>
      </c>
      <c r="R86" s="13">
        <f t="shared" si="27"/>
        <v>72</v>
      </c>
      <c r="S86" s="13">
        <f t="shared" si="27"/>
        <v>2</v>
      </c>
      <c r="T86" s="13">
        <f t="shared" si="27"/>
        <v>18</v>
      </c>
      <c r="U86" s="13">
        <f t="shared" ref="U86:Z86" si="28">SUM(U85)</f>
        <v>2</v>
      </c>
      <c r="V86" s="13">
        <f t="shared" si="28"/>
        <v>23</v>
      </c>
      <c r="W86" s="13">
        <f t="shared" si="28"/>
        <v>3</v>
      </c>
      <c r="X86" s="13">
        <f t="shared" si="28"/>
        <v>50</v>
      </c>
      <c r="Y86" s="13">
        <f t="shared" si="28"/>
        <v>3</v>
      </c>
      <c r="Z86" s="13">
        <f t="shared" si="28"/>
        <v>64</v>
      </c>
      <c r="AA86" s="13">
        <f t="shared" ref="AA86" si="29">+S86+U86+W86+Y86</f>
        <v>10</v>
      </c>
      <c r="AB86" s="13">
        <f>+V86+X86+Z86+T86</f>
        <v>155</v>
      </c>
    </row>
    <row r="87" spans="2:28" ht="15">
      <c r="B87" s="7" t="s">
        <v>18</v>
      </c>
      <c r="C87" s="12">
        <v>15</v>
      </c>
      <c r="D87" s="12">
        <v>15</v>
      </c>
      <c r="E87" s="12">
        <v>15</v>
      </c>
      <c r="F87" s="12">
        <v>15</v>
      </c>
      <c r="G87" s="12">
        <v>16</v>
      </c>
      <c r="H87" s="12">
        <v>16</v>
      </c>
      <c r="I87" s="12">
        <v>16</v>
      </c>
      <c r="J87" s="12">
        <v>16</v>
      </c>
      <c r="K87" s="12">
        <v>23</v>
      </c>
      <c r="L87" s="12">
        <v>23</v>
      </c>
      <c r="M87" s="12">
        <v>22</v>
      </c>
      <c r="N87" s="12">
        <v>22</v>
      </c>
      <c r="O87" s="12">
        <v>16</v>
      </c>
      <c r="P87" s="12">
        <v>16</v>
      </c>
      <c r="Q87" s="12">
        <v>27</v>
      </c>
      <c r="R87" s="12">
        <v>27</v>
      </c>
      <c r="S87" s="12">
        <v>22</v>
      </c>
      <c r="T87" s="12">
        <v>22</v>
      </c>
      <c r="U87" s="12">
        <v>15</v>
      </c>
      <c r="V87" s="12">
        <v>15</v>
      </c>
      <c r="W87" s="12">
        <v>19</v>
      </c>
      <c r="X87" s="12">
        <v>19</v>
      </c>
      <c r="Y87" s="12">
        <v>11</v>
      </c>
      <c r="Z87" s="12">
        <v>11</v>
      </c>
      <c r="AA87" s="15">
        <f>+U87+W87+Y87+S87</f>
        <v>67</v>
      </c>
      <c r="AB87" s="15">
        <f t="shared" ref="AB87:AB88" si="30">+T87+V87+X87+Z87</f>
        <v>67</v>
      </c>
    </row>
    <row r="88" spans="2:28" ht="37.5" customHeight="1">
      <c r="B88" s="10" t="s">
        <v>16</v>
      </c>
      <c r="C88" s="13">
        <f t="shared" ref="C88:T88" si="31">SUM(C87)</f>
        <v>15</v>
      </c>
      <c r="D88" s="13">
        <f t="shared" si="31"/>
        <v>15</v>
      </c>
      <c r="E88" s="13">
        <f t="shared" si="31"/>
        <v>15</v>
      </c>
      <c r="F88" s="13">
        <f t="shared" si="31"/>
        <v>15</v>
      </c>
      <c r="G88" s="13">
        <f t="shared" si="31"/>
        <v>16</v>
      </c>
      <c r="H88" s="13">
        <f t="shared" si="31"/>
        <v>16</v>
      </c>
      <c r="I88" s="13">
        <f t="shared" si="31"/>
        <v>16</v>
      </c>
      <c r="J88" s="13">
        <f t="shared" si="31"/>
        <v>16</v>
      </c>
      <c r="K88" s="13">
        <f t="shared" si="31"/>
        <v>23</v>
      </c>
      <c r="L88" s="13">
        <f t="shared" si="31"/>
        <v>23</v>
      </c>
      <c r="M88" s="13">
        <f t="shared" si="31"/>
        <v>22</v>
      </c>
      <c r="N88" s="13">
        <f t="shared" si="31"/>
        <v>22</v>
      </c>
      <c r="O88" s="13">
        <f t="shared" si="31"/>
        <v>16</v>
      </c>
      <c r="P88" s="13">
        <f t="shared" si="31"/>
        <v>16</v>
      </c>
      <c r="Q88" s="13">
        <f t="shared" si="31"/>
        <v>27</v>
      </c>
      <c r="R88" s="13">
        <f t="shared" si="31"/>
        <v>27</v>
      </c>
      <c r="S88" s="13">
        <f t="shared" si="31"/>
        <v>22</v>
      </c>
      <c r="T88" s="13">
        <f t="shared" si="31"/>
        <v>22</v>
      </c>
      <c r="U88" s="13">
        <f t="shared" ref="U88:Z88" si="32">SUM(U87)</f>
        <v>15</v>
      </c>
      <c r="V88" s="13">
        <f t="shared" si="32"/>
        <v>15</v>
      </c>
      <c r="W88" s="13">
        <f t="shared" si="32"/>
        <v>19</v>
      </c>
      <c r="X88" s="13">
        <f t="shared" si="32"/>
        <v>19</v>
      </c>
      <c r="Y88" s="13">
        <f t="shared" si="32"/>
        <v>11</v>
      </c>
      <c r="Z88" s="13">
        <f t="shared" si="32"/>
        <v>11</v>
      </c>
      <c r="AA88" s="16">
        <f>SUM(AA87:AA87)</f>
        <v>67</v>
      </c>
      <c r="AB88" s="16">
        <f t="shared" si="30"/>
        <v>67</v>
      </c>
    </row>
    <row r="89" spans="2:28" ht="15">
      <c r="B89" s="21" t="s">
        <v>19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2">
        <f>+C89+E89+G89+I89+K89+M89+O89+Q89+S89+U89+W89+Y89</f>
        <v>0</v>
      </c>
      <c r="AB89" s="12">
        <f>+D89+F89+H89+J89+L89+N89+P89+R89+T89+V89+X89+Z89</f>
        <v>0</v>
      </c>
    </row>
    <row r="90" spans="2:28" ht="15">
      <c r="B90" s="22" t="s">
        <v>20</v>
      </c>
      <c r="C90" s="14">
        <v>14</v>
      </c>
      <c r="D90" s="14">
        <v>14</v>
      </c>
      <c r="E90" s="14">
        <v>19</v>
      </c>
      <c r="F90" s="14">
        <v>19</v>
      </c>
      <c r="G90" s="14">
        <v>22</v>
      </c>
      <c r="H90" s="14">
        <v>22</v>
      </c>
      <c r="I90" s="14">
        <v>28</v>
      </c>
      <c r="J90" s="14">
        <v>28</v>
      </c>
      <c r="K90" s="14">
        <v>11</v>
      </c>
      <c r="L90" s="14">
        <v>11</v>
      </c>
      <c r="M90" s="14">
        <v>20</v>
      </c>
      <c r="N90" s="14">
        <v>20</v>
      </c>
      <c r="O90" s="14">
        <v>16</v>
      </c>
      <c r="P90" s="14">
        <v>16</v>
      </c>
      <c r="Q90" s="14">
        <v>33</v>
      </c>
      <c r="R90" s="14">
        <v>33</v>
      </c>
      <c r="S90" s="14">
        <v>17</v>
      </c>
      <c r="T90" s="14">
        <v>17</v>
      </c>
      <c r="U90" s="14">
        <v>24</v>
      </c>
      <c r="V90" s="14">
        <v>24</v>
      </c>
      <c r="W90" s="14">
        <v>19</v>
      </c>
      <c r="X90" s="14">
        <v>19</v>
      </c>
      <c r="Y90" s="14">
        <v>13</v>
      </c>
      <c r="Z90" s="14">
        <v>13</v>
      </c>
      <c r="AA90" s="12">
        <f t="shared" ref="AA90:AA92" si="33">+C90+E90+G90+I90+K90+M90+O90+Q90+S90+U90+W90+Y90</f>
        <v>236</v>
      </c>
      <c r="AB90" s="12">
        <f t="shared" ref="AB90:AB92" si="34">+D90+F90+H90+J90+L90+N90+P90+R90+T90+V90+X90+Z90</f>
        <v>236</v>
      </c>
    </row>
    <row r="91" spans="2:28" ht="15">
      <c r="B91" s="49" t="s">
        <v>31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>
        <v>15</v>
      </c>
      <c r="T91" s="14">
        <v>15</v>
      </c>
      <c r="U91" s="14"/>
      <c r="V91" s="14"/>
      <c r="W91" s="14"/>
      <c r="X91" s="14"/>
      <c r="Y91" s="14"/>
      <c r="Z91" s="14"/>
      <c r="AA91" s="12">
        <f t="shared" si="33"/>
        <v>15</v>
      </c>
      <c r="AB91" s="12">
        <f t="shared" si="34"/>
        <v>15</v>
      </c>
    </row>
    <row r="92" spans="2:28" ht="15">
      <c r="B92" s="10" t="s">
        <v>16</v>
      </c>
      <c r="C92" s="13">
        <f t="shared" ref="C92:R92" si="35">SUM(C90)</f>
        <v>14</v>
      </c>
      <c r="D92" s="13">
        <f t="shared" si="35"/>
        <v>14</v>
      </c>
      <c r="E92" s="13">
        <f t="shared" si="35"/>
        <v>19</v>
      </c>
      <c r="F92" s="13">
        <f t="shared" si="35"/>
        <v>19</v>
      </c>
      <c r="G92" s="13">
        <f t="shared" si="35"/>
        <v>22</v>
      </c>
      <c r="H92" s="13">
        <f t="shared" si="35"/>
        <v>22</v>
      </c>
      <c r="I92" s="13">
        <f t="shared" si="35"/>
        <v>28</v>
      </c>
      <c r="J92" s="13">
        <f t="shared" si="35"/>
        <v>28</v>
      </c>
      <c r="K92" s="13">
        <f t="shared" si="35"/>
        <v>11</v>
      </c>
      <c r="L92" s="13">
        <f t="shared" si="35"/>
        <v>11</v>
      </c>
      <c r="M92" s="13">
        <f t="shared" si="35"/>
        <v>20</v>
      </c>
      <c r="N92" s="13">
        <f t="shared" si="35"/>
        <v>20</v>
      </c>
      <c r="O92" s="13">
        <f t="shared" si="35"/>
        <v>16</v>
      </c>
      <c r="P92" s="13">
        <f t="shared" si="35"/>
        <v>16</v>
      </c>
      <c r="Q92" s="13">
        <f t="shared" si="35"/>
        <v>33</v>
      </c>
      <c r="R92" s="13">
        <f t="shared" si="35"/>
        <v>33</v>
      </c>
      <c r="S92" s="13"/>
      <c r="T92" s="13"/>
      <c r="U92" s="13">
        <f t="shared" ref="U92:Z92" si="36">SUM(U90)</f>
        <v>24</v>
      </c>
      <c r="V92" s="13">
        <f t="shared" si="36"/>
        <v>24</v>
      </c>
      <c r="W92" s="13">
        <f t="shared" si="36"/>
        <v>19</v>
      </c>
      <c r="X92" s="13">
        <f t="shared" si="36"/>
        <v>19</v>
      </c>
      <c r="Y92" s="13">
        <f t="shared" si="36"/>
        <v>13</v>
      </c>
      <c r="Z92" s="13">
        <f t="shared" si="36"/>
        <v>13</v>
      </c>
      <c r="AA92" s="13">
        <f t="shared" si="33"/>
        <v>219</v>
      </c>
      <c r="AB92" s="13">
        <f t="shared" si="34"/>
        <v>219</v>
      </c>
    </row>
    <row r="96" spans="2:28" ht="15.75">
      <c r="B96" s="86" t="s">
        <v>33</v>
      </c>
      <c r="C96" s="76" t="s">
        <v>34</v>
      </c>
      <c r="D96" s="76"/>
      <c r="E96" s="76" t="s">
        <v>35</v>
      </c>
      <c r="F96" s="76"/>
      <c r="G96" s="76" t="s">
        <v>24</v>
      </c>
      <c r="H96" s="76"/>
      <c r="I96" s="76" t="s">
        <v>36</v>
      </c>
      <c r="J96" s="76"/>
      <c r="K96" s="76" t="s">
        <v>26</v>
      </c>
      <c r="L96" s="76"/>
      <c r="M96" s="76" t="s">
        <v>27</v>
      </c>
      <c r="N96" s="76"/>
      <c r="O96" s="76" t="s">
        <v>28</v>
      </c>
      <c r="P96" s="76"/>
      <c r="Q96" s="76" t="s">
        <v>37</v>
      </c>
      <c r="R96" s="76"/>
      <c r="S96" s="76" t="s">
        <v>1</v>
      </c>
      <c r="T96" s="76"/>
      <c r="U96" s="76" t="s">
        <v>2</v>
      </c>
      <c r="V96" s="76"/>
      <c r="W96" s="76" t="s">
        <v>3</v>
      </c>
      <c r="X96" s="76"/>
      <c r="Y96" s="76" t="s">
        <v>4</v>
      </c>
      <c r="Z96" s="76"/>
      <c r="AA96" s="76" t="s">
        <v>5</v>
      </c>
      <c r="AB96" s="76"/>
    </row>
    <row r="97" spans="2:28" ht="31.5">
      <c r="B97" s="79"/>
      <c r="C97" s="11" t="s">
        <v>6</v>
      </c>
      <c r="D97" s="11" t="s">
        <v>7</v>
      </c>
      <c r="E97" s="11" t="s">
        <v>6</v>
      </c>
      <c r="F97" s="11" t="s">
        <v>7</v>
      </c>
      <c r="G97" s="11" t="s">
        <v>6</v>
      </c>
      <c r="H97" s="11" t="s">
        <v>7</v>
      </c>
      <c r="I97" s="11" t="s">
        <v>6</v>
      </c>
      <c r="J97" s="11" t="s">
        <v>7</v>
      </c>
      <c r="K97" s="11" t="s">
        <v>6</v>
      </c>
      <c r="L97" s="11" t="s">
        <v>7</v>
      </c>
      <c r="M97" s="11" t="s">
        <v>6</v>
      </c>
      <c r="N97" s="11" t="s">
        <v>7</v>
      </c>
      <c r="O97" s="11" t="s">
        <v>6</v>
      </c>
      <c r="P97" s="11" t="s">
        <v>7</v>
      </c>
      <c r="Q97" s="11" t="s">
        <v>6</v>
      </c>
      <c r="R97" s="11" t="s">
        <v>7</v>
      </c>
      <c r="S97" s="11" t="s">
        <v>6</v>
      </c>
      <c r="T97" s="11" t="s">
        <v>7</v>
      </c>
      <c r="U97" s="11" t="s">
        <v>6</v>
      </c>
      <c r="V97" s="11" t="s">
        <v>7</v>
      </c>
      <c r="W97" s="11" t="s">
        <v>6</v>
      </c>
      <c r="X97" s="11" t="s">
        <v>7</v>
      </c>
      <c r="Y97" s="11" t="s">
        <v>6</v>
      </c>
      <c r="Z97" s="11" t="s">
        <v>7</v>
      </c>
      <c r="AA97" s="11" t="s">
        <v>6</v>
      </c>
      <c r="AB97" s="11" t="s">
        <v>7</v>
      </c>
    </row>
    <row r="98" spans="2:28" ht="15">
      <c r="B98" s="3" t="s">
        <v>8</v>
      </c>
      <c r="C98" s="12">
        <v>29</v>
      </c>
      <c r="D98" s="12">
        <v>29</v>
      </c>
      <c r="E98" s="12">
        <v>33</v>
      </c>
      <c r="F98" s="12">
        <v>33</v>
      </c>
      <c r="G98" s="12">
        <v>35</v>
      </c>
      <c r="H98" s="12">
        <v>35</v>
      </c>
      <c r="I98" s="12">
        <v>73</v>
      </c>
      <c r="J98" s="12">
        <v>73</v>
      </c>
      <c r="K98" s="12">
        <v>39</v>
      </c>
      <c r="L98" s="12">
        <v>39</v>
      </c>
      <c r="M98" s="12">
        <v>27</v>
      </c>
      <c r="N98" s="12">
        <v>27</v>
      </c>
      <c r="O98" s="12">
        <v>26</v>
      </c>
      <c r="P98" s="12">
        <v>26</v>
      </c>
      <c r="Q98" s="12">
        <v>49</v>
      </c>
      <c r="R98" s="12">
        <v>49</v>
      </c>
      <c r="S98" s="12">
        <v>46</v>
      </c>
      <c r="T98" s="12">
        <v>46</v>
      </c>
      <c r="U98" s="12">
        <v>37</v>
      </c>
      <c r="V98" s="12">
        <v>37</v>
      </c>
      <c r="W98" s="12">
        <v>44</v>
      </c>
      <c r="X98" s="12">
        <v>44</v>
      </c>
      <c r="Y98" s="14">
        <v>12</v>
      </c>
      <c r="Z98" s="14">
        <v>12</v>
      </c>
      <c r="AA98" s="12">
        <f>+C98+E98+G98+I98+K98+M98+O98+Q98+S98+U98+W98+Y98</f>
        <v>450</v>
      </c>
      <c r="AB98" s="12">
        <f>+D98+F98+H98+J98+L98+N98+P98+R98+T98+V98+X98+Z98</f>
        <v>450</v>
      </c>
    </row>
    <row r="99" spans="2:28" ht="15">
      <c r="B99" s="4" t="s">
        <v>9</v>
      </c>
      <c r="C99" s="12">
        <v>32</v>
      </c>
      <c r="D99" s="12">
        <v>19</v>
      </c>
      <c r="E99" s="12">
        <v>38</v>
      </c>
      <c r="F99" s="12">
        <v>22</v>
      </c>
      <c r="G99" s="12">
        <v>34</v>
      </c>
      <c r="H99" s="12">
        <v>19</v>
      </c>
      <c r="I99" s="12">
        <v>7</v>
      </c>
      <c r="J99" s="12">
        <v>7</v>
      </c>
      <c r="K99" s="12">
        <v>5</v>
      </c>
      <c r="L99" s="12">
        <v>3</v>
      </c>
      <c r="M99" s="12">
        <v>2</v>
      </c>
      <c r="N99" s="12">
        <v>2</v>
      </c>
      <c r="O99" s="12"/>
      <c r="P99" s="12"/>
      <c r="Q99" s="12">
        <v>2</v>
      </c>
      <c r="R99" s="12">
        <v>2</v>
      </c>
      <c r="S99" s="12">
        <v>4</v>
      </c>
      <c r="T99" s="12">
        <v>2</v>
      </c>
      <c r="U99" s="12"/>
      <c r="V99" s="12"/>
      <c r="W99" s="12"/>
      <c r="X99" s="12"/>
      <c r="Y99" s="14"/>
      <c r="Z99" s="14"/>
      <c r="AA99" s="12">
        <f t="shared" ref="AA99:AA109" si="37">+C99+E99+G99+I99+K99+M99+O99+Q99+S99+U99+W99+Y99</f>
        <v>124</v>
      </c>
      <c r="AB99" s="12">
        <f t="shared" ref="AB99:AB109" si="38">+D99+F99+H99+J99+L99+N99+P99+R99+T99+V99+X99+Z99</f>
        <v>76</v>
      </c>
    </row>
    <row r="100" spans="2:28" ht="15">
      <c r="B100" s="4" t="s">
        <v>10</v>
      </c>
      <c r="C100" s="12">
        <v>18</v>
      </c>
      <c r="D100" s="12">
        <v>6</v>
      </c>
      <c r="E100" s="12">
        <v>21</v>
      </c>
      <c r="F100" s="12">
        <v>6</v>
      </c>
      <c r="G100" s="12">
        <v>19</v>
      </c>
      <c r="H100" s="12">
        <v>10</v>
      </c>
      <c r="I100" s="12">
        <v>61</v>
      </c>
      <c r="J100" s="12">
        <v>20</v>
      </c>
      <c r="K100" s="12">
        <v>86</v>
      </c>
      <c r="L100" s="12">
        <v>19</v>
      </c>
      <c r="M100" s="12">
        <v>62</v>
      </c>
      <c r="N100" s="12">
        <v>21</v>
      </c>
      <c r="O100" s="12">
        <v>34</v>
      </c>
      <c r="P100" s="12">
        <v>15</v>
      </c>
      <c r="Q100" s="12">
        <v>40</v>
      </c>
      <c r="R100" s="12">
        <v>11</v>
      </c>
      <c r="S100" s="12">
        <v>69</v>
      </c>
      <c r="T100" s="12">
        <v>23</v>
      </c>
      <c r="U100" s="12">
        <v>99</v>
      </c>
      <c r="V100" s="12">
        <v>26</v>
      </c>
      <c r="W100" s="12">
        <v>86</v>
      </c>
      <c r="X100" s="12">
        <v>27</v>
      </c>
      <c r="Y100" s="14">
        <v>30</v>
      </c>
      <c r="Z100" s="14">
        <v>14</v>
      </c>
      <c r="AA100" s="12">
        <f t="shared" si="37"/>
        <v>625</v>
      </c>
      <c r="AB100" s="12">
        <f t="shared" si="38"/>
        <v>198</v>
      </c>
    </row>
    <row r="101" spans="2:28" ht="15">
      <c r="B101" s="4" t="s">
        <v>11</v>
      </c>
      <c r="C101" s="12">
        <v>51</v>
      </c>
      <c r="D101" s="12">
        <v>51</v>
      </c>
      <c r="E101" s="12">
        <v>72</v>
      </c>
      <c r="F101" s="12">
        <v>72</v>
      </c>
      <c r="G101" s="12">
        <v>98</v>
      </c>
      <c r="H101" s="12">
        <v>98</v>
      </c>
      <c r="I101" s="12">
        <v>68</v>
      </c>
      <c r="J101" s="12">
        <v>67</v>
      </c>
      <c r="K101" s="12">
        <v>55</v>
      </c>
      <c r="L101" s="12">
        <v>55</v>
      </c>
      <c r="M101" s="12">
        <v>72</v>
      </c>
      <c r="N101" s="12">
        <v>71</v>
      </c>
      <c r="O101" s="12">
        <v>46</v>
      </c>
      <c r="P101" s="12">
        <v>46</v>
      </c>
      <c r="Q101" s="12">
        <v>86</v>
      </c>
      <c r="R101" s="12">
        <v>85</v>
      </c>
      <c r="S101" s="12">
        <v>67</v>
      </c>
      <c r="T101" s="12">
        <v>67</v>
      </c>
      <c r="U101" s="12">
        <v>72</v>
      </c>
      <c r="V101" s="12">
        <v>72</v>
      </c>
      <c r="W101" s="12">
        <v>53</v>
      </c>
      <c r="X101" s="12">
        <v>53</v>
      </c>
      <c r="Y101" s="14">
        <v>37</v>
      </c>
      <c r="Z101" s="14">
        <v>36</v>
      </c>
      <c r="AA101" s="12">
        <f t="shared" si="37"/>
        <v>777</v>
      </c>
      <c r="AB101" s="12">
        <f t="shared" si="38"/>
        <v>773</v>
      </c>
    </row>
    <row r="102" spans="2:28" ht="15">
      <c r="B102" s="4" t="s">
        <v>12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4"/>
      <c r="Z102" s="14"/>
      <c r="AA102" s="12">
        <f t="shared" si="37"/>
        <v>0</v>
      </c>
      <c r="AB102" s="12">
        <f t="shared" si="38"/>
        <v>0</v>
      </c>
    </row>
    <row r="103" spans="2:28" ht="15">
      <c r="B103" s="4" t="s">
        <v>38</v>
      </c>
      <c r="C103" s="12"/>
      <c r="D103" s="12"/>
      <c r="E103" s="12">
        <v>50</v>
      </c>
      <c r="F103" s="12">
        <v>40</v>
      </c>
      <c r="G103" s="12">
        <v>117</v>
      </c>
      <c r="H103" s="12">
        <v>51</v>
      </c>
      <c r="I103" s="12">
        <v>120</v>
      </c>
      <c r="J103" s="12">
        <v>62</v>
      </c>
      <c r="K103" s="12">
        <v>103</v>
      </c>
      <c r="L103" s="12">
        <v>54</v>
      </c>
      <c r="M103" s="12">
        <v>95</v>
      </c>
      <c r="N103" s="12">
        <v>58</v>
      </c>
      <c r="O103" s="12">
        <v>91</v>
      </c>
      <c r="P103" s="12">
        <v>64</v>
      </c>
      <c r="Q103" s="12">
        <v>111</v>
      </c>
      <c r="R103" s="12">
        <v>88</v>
      </c>
      <c r="S103" s="12">
        <v>117</v>
      </c>
      <c r="T103" s="12">
        <v>81</v>
      </c>
      <c r="U103" s="12">
        <v>154</v>
      </c>
      <c r="V103" s="12">
        <v>106</v>
      </c>
      <c r="W103" s="12">
        <v>100</v>
      </c>
      <c r="X103" s="12">
        <v>60</v>
      </c>
      <c r="Y103" s="14">
        <v>50</v>
      </c>
      <c r="Z103" s="14">
        <v>37</v>
      </c>
      <c r="AA103" s="12">
        <f t="shared" si="37"/>
        <v>1108</v>
      </c>
      <c r="AB103" s="12">
        <f t="shared" si="38"/>
        <v>701</v>
      </c>
    </row>
    <row r="104" spans="2:28" ht="15">
      <c r="B104" s="4" t="s">
        <v>39</v>
      </c>
      <c r="C104" s="12"/>
      <c r="D104" s="12"/>
      <c r="E104" s="12">
        <v>3</v>
      </c>
      <c r="F104" s="12">
        <v>3</v>
      </c>
      <c r="G104" s="12">
        <v>4</v>
      </c>
      <c r="H104" s="12">
        <v>4</v>
      </c>
      <c r="I104" s="12">
        <v>5</v>
      </c>
      <c r="J104" s="12">
        <v>5</v>
      </c>
      <c r="K104" s="12">
        <v>6</v>
      </c>
      <c r="L104" s="12">
        <v>5</v>
      </c>
      <c r="M104" s="12">
        <v>5</v>
      </c>
      <c r="N104" s="12">
        <v>5</v>
      </c>
      <c r="O104" s="12">
        <v>2</v>
      </c>
      <c r="P104" s="12">
        <v>2</v>
      </c>
      <c r="Q104" s="12">
        <v>3</v>
      </c>
      <c r="R104" s="12">
        <v>3</v>
      </c>
      <c r="S104" s="12">
        <v>3</v>
      </c>
      <c r="T104" s="12">
        <v>3</v>
      </c>
      <c r="U104" s="12">
        <v>1</v>
      </c>
      <c r="V104" s="12">
        <v>1</v>
      </c>
      <c r="W104" s="12">
        <v>5</v>
      </c>
      <c r="X104" s="12">
        <v>5</v>
      </c>
      <c r="Y104" s="14">
        <v>1</v>
      </c>
      <c r="Z104" s="14">
        <v>1</v>
      </c>
      <c r="AA104" s="12">
        <f t="shared" si="37"/>
        <v>38</v>
      </c>
      <c r="AB104" s="12">
        <f t="shared" si="38"/>
        <v>37</v>
      </c>
    </row>
    <row r="105" spans="2:28" ht="15">
      <c r="B105" s="4" t="s">
        <v>13</v>
      </c>
      <c r="C105" s="12">
        <v>135</v>
      </c>
      <c r="D105" s="12">
        <v>37</v>
      </c>
      <c r="E105" s="12">
        <v>172</v>
      </c>
      <c r="F105" s="12">
        <v>41</v>
      </c>
      <c r="G105" s="12">
        <v>205</v>
      </c>
      <c r="H105" s="12">
        <v>45</v>
      </c>
      <c r="I105" s="12">
        <v>212</v>
      </c>
      <c r="J105" s="12">
        <v>64</v>
      </c>
      <c r="K105" s="12">
        <v>263</v>
      </c>
      <c r="L105" s="12">
        <v>64</v>
      </c>
      <c r="M105" s="12">
        <v>243</v>
      </c>
      <c r="N105" s="12">
        <v>67</v>
      </c>
      <c r="O105" s="12">
        <v>131</v>
      </c>
      <c r="P105" s="12">
        <v>54</v>
      </c>
      <c r="Q105" s="12">
        <v>251</v>
      </c>
      <c r="R105" s="12">
        <v>56</v>
      </c>
      <c r="S105" s="12">
        <v>284</v>
      </c>
      <c r="T105" s="12">
        <v>64</v>
      </c>
      <c r="U105" s="12">
        <v>275</v>
      </c>
      <c r="V105" s="12">
        <v>69</v>
      </c>
      <c r="W105" s="12">
        <v>273</v>
      </c>
      <c r="X105" s="12">
        <v>67</v>
      </c>
      <c r="Y105" s="14">
        <v>106</v>
      </c>
      <c r="Z105" s="14">
        <v>36</v>
      </c>
      <c r="AA105" s="12">
        <f t="shared" si="37"/>
        <v>2550</v>
      </c>
      <c r="AB105" s="12">
        <f t="shared" si="38"/>
        <v>664</v>
      </c>
    </row>
    <row r="106" spans="2:28" ht="15">
      <c r="B106" s="4" t="s">
        <v>14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4"/>
      <c r="Z106" s="14"/>
      <c r="AA106" s="12">
        <f t="shared" si="37"/>
        <v>0</v>
      </c>
      <c r="AB106" s="12">
        <f t="shared" si="38"/>
        <v>0</v>
      </c>
    </row>
    <row r="107" spans="2:28" ht="15">
      <c r="B107" s="4" t="s">
        <v>40</v>
      </c>
      <c r="C107" s="12"/>
      <c r="D107" s="12"/>
      <c r="E107" s="12">
        <v>1</v>
      </c>
      <c r="F107" s="12">
        <v>1</v>
      </c>
      <c r="G107" s="12">
        <v>18</v>
      </c>
      <c r="H107" s="12">
        <v>7</v>
      </c>
      <c r="I107" s="12">
        <v>65</v>
      </c>
      <c r="J107" s="12">
        <v>18</v>
      </c>
      <c r="K107" s="12">
        <v>110</v>
      </c>
      <c r="L107" s="12">
        <v>20</v>
      </c>
      <c r="M107" s="12">
        <v>77</v>
      </c>
      <c r="N107" s="12">
        <v>19</v>
      </c>
      <c r="O107" s="12">
        <v>48</v>
      </c>
      <c r="P107" s="12">
        <v>13</v>
      </c>
      <c r="Q107" s="12">
        <v>68</v>
      </c>
      <c r="R107" s="12">
        <v>18</v>
      </c>
      <c r="S107" s="12">
        <v>59</v>
      </c>
      <c r="T107" s="12">
        <v>14</v>
      </c>
      <c r="U107" s="12">
        <v>55</v>
      </c>
      <c r="V107" s="12">
        <v>11</v>
      </c>
      <c r="W107" s="12">
        <v>36</v>
      </c>
      <c r="X107" s="12">
        <v>10</v>
      </c>
      <c r="Y107" s="14">
        <v>25</v>
      </c>
      <c r="Z107" s="14">
        <v>9</v>
      </c>
      <c r="AA107" s="12">
        <f t="shared" si="37"/>
        <v>562</v>
      </c>
      <c r="AB107" s="12">
        <f t="shared" si="38"/>
        <v>140</v>
      </c>
    </row>
    <row r="108" spans="2:28" ht="15">
      <c r="B108" s="4" t="s">
        <v>41</v>
      </c>
      <c r="C108" s="12"/>
      <c r="D108" s="12"/>
      <c r="E108" s="12"/>
      <c r="F108" s="12"/>
      <c r="G108" s="12">
        <v>1</v>
      </c>
      <c r="H108" s="12">
        <v>1</v>
      </c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4"/>
      <c r="Z108" s="14"/>
      <c r="AA108" s="12">
        <f t="shared" si="37"/>
        <v>1</v>
      </c>
      <c r="AB108" s="12">
        <f t="shared" si="38"/>
        <v>1</v>
      </c>
    </row>
    <row r="109" spans="2:28" ht="15">
      <c r="B109" s="5" t="s">
        <v>15</v>
      </c>
      <c r="C109" s="12">
        <v>8</v>
      </c>
      <c r="D109" s="12">
        <v>2</v>
      </c>
      <c r="E109" s="12">
        <v>18</v>
      </c>
      <c r="F109" s="12">
        <v>3</v>
      </c>
      <c r="G109" s="12">
        <v>90</v>
      </c>
      <c r="H109" s="12">
        <v>11</v>
      </c>
      <c r="I109" s="12">
        <v>63</v>
      </c>
      <c r="J109" s="12">
        <v>11</v>
      </c>
      <c r="K109" s="12">
        <v>72</v>
      </c>
      <c r="L109" s="12">
        <v>11</v>
      </c>
      <c r="M109" s="12">
        <v>73</v>
      </c>
      <c r="N109" s="12">
        <v>12</v>
      </c>
      <c r="O109" s="12">
        <v>36</v>
      </c>
      <c r="P109" s="12">
        <v>9</v>
      </c>
      <c r="Q109" s="12">
        <v>72</v>
      </c>
      <c r="R109" s="12">
        <v>11</v>
      </c>
      <c r="S109" s="12">
        <v>127</v>
      </c>
      <c r="T109" s="12">
        <v>13</v>
      </c>
      <c r="U109" s="12">
        <v>122</v>
      </c>
      <c r="V109" s="12">
        <v>12</v>
      </c>
      <c r="W109" s="12">
        <v>104</v>
      </c>
      <c r="X109" s="12">
        <v>12</v>
      </c>
      <c r="Y109" s="14">
        <v>50</v>
      </c>
      <c r="Z109" s="14">
        <v>10</v>
      </c>
      <c r="AA109" s="12">
        <f t="shared" si="37"/>
        <v>835</v>
      </c>
      <c r="AB109" s="12">
        <f t="shared" si="38"/>
        <v>117</v>
      </c>
    </row>
    <row r="110" spans="2:28" ht="15">
      <c r="B110" s="8" t="s">
        <v>16</v>
      </c>
      <c r="C110" s="13">
        <f t="shared" ref="C110:J110" si="39">SUM(C98:C109)</f>
        <v>273</v>
      </c>
      <c r="D110" s="13">
        <f t="shared" si="39"/>
        <v>144</v>
      </c>
      <c r="E110" s="13">
        <f t="shared" si="39"/>
        <v>408</v>
      </c>
      <c r="F110" s="13">
        <f t="shared" si="39"/>
        <v>221</v>
      </c>
      <c r="G110" s="13">
        <f t="shared" si="39"/>
        <v>621</v>
      </c>
      <c r="H110" s="13">
        <f t="shared" si="39"/>
        <v>281</v>
      </c>
      <c r="I110" s="13">
        <f t="shared" si="39"/>
        <v>674</v>
      </c>
      <c r="J110" s="13">
        <f t="shared" si="39"/>
        <v>327</v>
      </c>
      <c r="K110" s="13">
        <f t="shared" ref="K110:P110" si="40">SUM(K98:K109)</f>
        <v>739</v>
      </c>
      <c r="L110" s="13">
        <f t="shared" si="40"/>
        <v>270</v>
      </c>
      <c r="M110" s="13">
        <f t="shared" si="40"/>
        <v>656</v>
      </c>
      <c r="N110" s="13">
        <f t="shared" si="40"/>
        <v>282</v>
      </c>
      <c r="O110" s="13">
        <f t="shared" si="40"/>
        <v>414</v>
      </c>
      <c r="P110" s="13">
        <f t="shared" si="40"/>
        <v>229</v>
      </c>
      <c r="Q110" s="13">
        <f t="shared" ref="Q110:Z110" si="41">SUM(Q98:Q109)</f>
        <v>682</v>
      </c>
      <c r="R110" s="13">
        <f t="shared" si="41"/>
        <v>323</v>
      </c>
      <c r="S110" s="13">
        <f t="shared" si="41"/>
        <v>776</v>
      </c>
      <c r="T110" s="13">
        <f t="shared" si="41"/>
        <v>313</v>
      </c>
      <c r="U110" s="13">
        <f t="shared" si="41"/>
        <v>815</v>
      </c>
      <c r="V110" s="13">
        <f t="shared" si="41"/>
        <v>334</v>
      </c>
      <c r="W110" s="13">
        <f t="shared" si="41"/>
        <v>701</v>
      </c>
      <c r="X110" s="13">
        <f t="shared" si="41"/>
        <v>278</v>
      </c>
      <c r="Y110" s="13">
        <f t="shared" si="41"/>
        <v>311</v>
      </c>
      <c r="Z110" s="13">
        <f t="shared" si="41"/>
        <v>155</v>
      </c>
      <c r="AA110" s="13">
        <f>SUM(AA98:AA109)</f>
        <v>7070</v>
      </c>
      <c r="AB110" s="13">
        <f>SUM(AB98:AB109)</f>
        <v>3157</v>
      </c>
    </row>
    <row r="111" spans="2:28" ht="15">
      <c r="B111" s="17" t="s">
        <v>42</v>
      </c>
      <c r="C111" s="12">
        <v>2</v>
      </c>
      <c r="D111" s="12">
        <v>23</v>
      </c>
      <c r="E111" s="12">
        <v>2</v>
      </c>
      <c r="F111" s="12">
        <v>31</v>
      </c>
      <c r="G111" s="12">
        <v>2</v>
      </c>
      <c r="H111" s="12">
        <v>42</v>
      </c>
      <c r="I111" s="12">
        <v>4</v>
      </c>
      <c r="J111" s="12">
        <v>87</v>
      </c>
      <c r="K111" s="12">
        <v>4</v>
      </c>
      <c r="L111" s="12">
        <v>221</v>
      </c>
      <c r="M111" s="12">
        <v>2</v>
      </c>
      <c r="N111" s="12">
        <v>72</v>
      </c>
      <c r="O111" s="12">
        <v>2</v>
      </c>
      <c r="P111" s="12">
        <v>25</v>
      </c>
      <c r="Q111" s="12">
        <v>1</v>
      </c>
      <c r="R111" s="12">
        <v>34</v>
      </c>
      <c r="S111" s="12">
        <v>3</v>
      </c>
      <c r="T111" s="12">
        <v>63</v>
      </c>
      <c r="U111" s="12">
        <v>1</v>
      </c>
      <c r="V111" s="12">
        <v>20</v>
      </c>
      <c r="W111" s="12">
        <v>1</v>
      </c>
      <c r="X111" s="12">
        <v>29</v>
      </c>
      <c r="Y111" s="14">
        <v>3</v>
      </c>
      <c r="Z111" s="14">
        <v>97</v>
      </c>
      <c r="AA111" s="12">
        <f>+C111+E111+G111+I111+K111+O111+M111+Q111+S111+U111+W111+Y111</f>
        <v>27</v>
      </c>
      <c r="AB111" s="12">
        <f>+D111+F111+H111+J111+L111+N111+P111+R111+T111+V111+X111+Z111</f>
        <v>744</v>
      </c>
    </row>
    <row r="112" spans="2:28" ht="15">
      <c r="B112" s="9" t="s">
        <v>16</v>
      </c>
      <c r="C112" s="13">
        <f t="shared" ref="C112:J112" si="42">SUM(C111)</f>
        <v>2</v>
      </c>
      <c r="D112" s="13">
        <f t="shared" si="42"/>
        <v>23</v>
      </c>
      <c r="E112" s="13">
        <f t="shared" si="42"/>
        <v>2</v>
      </c>
      <c r="F112" s="13">
        <f t="shared" si="42"/>
        <v>31</v>
      </c>
      <c r="G112" s="13">
        <f t="shared" si="42"/>
        <v>2</v>
      </c>
      <c r="H112" s="13">
        <f t="shared" si="42"/>
        <v>42</v>
      </c>
      <c r="I112" s="13">
        <f t="shared" si="42"/>
        <v>4</v>
      </c>
      <c r="J112" s="13">
        <f t="shared" si="42"/>
        <v>87</v>
      </c>
      <c r="K112" s="13">
        <f t="shared" ref="K112:P112" si="43">SUM(K111)</f>
        <v>4</v>
      </c>
      <c r="L112" s="13">
        <f t="shared" si="43"/>
        <v>221</v>
      </c>
      <c r="M112" s="13">
        <f t="shared" si="43"/>
        <v>2</v>
      </c>
      <c r="N112" s="13">
        <f t="shared" si="43"/>
        <v>72</v>
      </c>
      <c r="O112" s="13">
        <f t="shared" si="43"/>
        <v>2</v>
      </c>
      <c r="P112" s="13">
        <f t="shared" si="43"/>
        <v>25</v>
      </c>
      <c r="Q112" s="13">
        <f t="shared" ref="Q112:Z112" si="44">SUM(Q111)</f>
        <v>1</v>
      </c>
      <c r="R112" s="13">
        <f t="shared" si="44"/>
        <v>34</v>
      </c>
      <c r="S112" s="13">
        <f t="shared" si="44"/>
        <v>3</v>
      </c>
      <c r="T112" s="13">
        <f t="shared" si="44"/>
        <v>63</v>
      </c>
      <c r="U112" s="13">
        <f t="shared" si="44"/>
        <v>1</v>
      </c>
      <c r="V112" s="13">
        <f t="shared" si="44"/>
        <v>20</v>
      </c>
      <c r="W112" s="13">
        <f t="shared" si="44"/>
        <v>1</v>
      </c>
      <c r="X112" s="13">
        <f t="shared" si="44"/>
        <v>29</v>
      </c>
      <c r="Y112" s="13">
        <f t="shared" si="44"/>
        <v>3</v>
      </c>
      <c r="Z112" s="13">
        <f t="shared" si="44"/>
        <v>97</v>
      </c>
      <c r="AA112" s="13">
        <f t="shared" ref="AA112" si="45">+C112+E112+G112+I112+K112+O112+M112+Q112+S112+U112+W112+Y112</f>
        <v>27</v>
      </c>
      <c r="AB112" s="13">
        <f t="shared" ref="AB112" si="46">+D112+F112+H112+J112+L112+N112+P112+R112+T112+V112+X112+Z112</f>
        <v>744</v>
      </c>
    </row>
    <row r="113" spans="2:28" ht="15">
      <c r="B113" s="7" t="s">
        <v>43</v>
      </c>
      <c r="C113" s="12">
        <v>43</v>
      </c>
      <c r="D113" s="12">
        <v>43</v>
      </c>
      <c r="E113" s="12">
        <v>44</v>
      </c>
      <c r="F113" s="12">
        <v>44</v>
      </c>
      <c r="G113" s="12">
        <v>29</v>
      </c>
      <c r="H113" s="12">
        <v>29</v>
      </c>
      <c r="I113" s="12">
        <v>37</v>
      </c>
      <c r="J113" s="12">
        <v>37</v>
      </c>
      <c r="K113" s="12">
        <v>33</v>
      </c>
      <c r="L113" s="12">
        <v>33</v>
      </c>
      <c r="M113" s="12">
        <v>32</v>
      </c>
      <c r="N113" s="12">
        <v>32</v>
      </c>
      <c r="O113" s="12">
        <v>22</v>
      </c>
      <c r="P113" s="12">
        <v>22</v>
      </c>
      <c r="Q113" s="12">
        <v>39</v>
      </c>
      <c r="R113" s="12">
        <v>39</v>
      </c>
      <c r="S113" s="12">
        <v>55</v>
      </c>
      <c r="T113" s="12">
        <v>55</v>
      </c>
      <c r="U113" s="12">
        <v>33</v>
      </c>
      <c r="V113" s="12">
        <v>33</v>
      </c>
      <c r="W113" s="12">
        <v>41</v>
      </c>
      <c r="X113" s="12">
        <v>41</v>
      </c>
      <c r="Y113" s="14">
        <v>13</v>
      </c>
      <c r="Z113" s="14">
        <v>13</v>
      </c>
      <c r="AA113" s="12">
        <f t="shared" ref="AA113:AA114" si="47">+C113+E113+G113+I113+K113+M113+O113+Q113+S113+U113+W113+Y113</f>
        <v>421</v>
      </c>
      <c r="AB113" s="12">
        <f t="shared" ref="AB113:AB114" si="48">+D113+F113+H113+J113+L113+P113+R113+T113+V113+X113+Z113+N113</f>
        <v>421</v>
      </c>
    </row>
    <row r="114" spans="2:28" ht="15">
      <c r="B114" s="10" t="s">
        <v>16</v>
      </c>
      <c r="C114" s="13">
        <f t="shared" ref="C114:J114" si="49">SUM(C113)</f>
        <v>43</v>
      </c>
      <c r="D114" s="13">
        <f t="shared" si="49"/>
        <v>43</v>
      </c>
      <c r="E114" s="13">
        <f t="shared" si="49"/>
        <v>44</v>
      </c>
      <c r="F114" s="13">
        <f t="shared" si="49"/>
        <v>44</v>
      </c>
      <c r="G114" s="13">
        <f t="shared" si="49"/>
        <v>29</v>
      </c>
      <c r="H114" s="13">
        <f t="shared" si="49"/>
        <v>29</v>
      </c>
      <c r="I114" s="13">
        <f t="shared" si="49"/>
        <v>37</v>
      </c>
      <c r="J114" s="13">
        <f t="shared" si="49"/>
        <v>37</v>
      </c>
      <c r="K114" s="13">
        <f t="shared" ref="K114:P114" si="50">SUM(K113)</f>
        <v>33</v>
      </c>
      <c r="L114" s="13">
        <f t="shared" si="50"/>
        <v>33</v>
      </c>
      <c r="M114" s="13">
        <f t="shared" si="50"/>
        <v>32</v>
      </c>
      <c r="N114" s="13">
        <f t="shared" si="50"/>
        <v>32</v>
      </c>
      <c r="O114" s="13">
        <f t="shared" si="50"/>
        <v>22</v>
      </c>
      <c r="P114" s="13">
        <f t="shared" si="50"/>
        <v>22</v>
      </c>
      <c r="Q114" s="13">
        <f t="shared" ref="Q114:Z114" si="51">SUM(Q113)</f>
        <v>39</v>
      </c>
      <c r="R114" s="13">
        <f t="shared" si="51"/>
        <v>39</v>
      </c>
      <c r="S114" s="13">
        <f t="shared" si="51"/>
        <v>55</v>
      </c>
      <c r="T114" s="13">
        <f t="shared" si="51"/>
        <v>55</v>
      </c>
      <c r="U114" s="13">
        <f t="shared" si="51"/>
        <v>33</v>
      </c>
      <c r="V114" s="13">
        <f t="shared" si="51"/>
        <v>33</v>
      </c>
      <c r="W114" s="13">
        <f t="shared" si="51"/>
        <v>41</v>
      </c>
      <c r="X114" s="13">
        <f t="shared" si="51"/>
        <v>41</v>
      </c>
      <c r="Y114" s="13">
        <f t="shared" si="51"/>
        <v>13</v>
      </c>
      <c r="Z114" s="13">
        <f t="shared" si="51"/>
        <v>13</v>
      </c>
      <c r="AA114" s="13">
        <f t="shared" si="47"/>
        <v>421</v>
      </c>
      <c r="AB114" s="13">
        <f t="shared" si="48"/>
        <v>421</v>
      </c>
    </row>
    <row r="119" spans="2:28" ht="15.75">
      <c r="B119" s="86" t="s">
        <v>44</v>
      </c>
      <c r="C119" s="76" t="s">
        <v>34</v>
      </c>
      <c r="D119" s="76"/>
      <c r="E119" s="76" t="s">
        <v>35</v>
      </c>
      <c r="F119" s="76"/>
      <c r="G119" s="76" t="s">
        <v>24</v>
      </c>
      <c r="H119" s="76"/>
      <c r="I119" s="76" t="s">
        <v>36</v>
      </c>
      <c r="J119" s="76"/>
      <c r="K119" s="76" t="s">
        <v>26</v>
      </c>
      <c r="L119" s="76"/>
      <c r="M119" s="76" t="s">
        <v>27</v>
      </c>
      <c r="N119" s="76"/>
      <c r="O119" s="76" t="s">
        <v>28</v>
      </c>
      <c r="P119" s="76"/>
      <c r="Q119" s="76" t="s">
        <v>37</v>
      </c>
      <c r="R119" s="76"/>
      <c r="S119" s="76" t="s">
        <v>1</v>
      </c>
      <c r="T119" s="76"/>
      <c r="U119" s="76" t="s">
        <v>2</v>
      </c>
      <c r="V119" s="76"/>
      <c r="W119" s="76" t="s">
        <v>3</v>
      </c>
      <c r="X119" s="76"/>
      <c r="Y119" s="76" t="s">
        <v>4</v>
      </c>
      <c r="Z119" s="76"/>
      <c r="AA119" s="76" t="s">
        <v>5</v>
      </c>
      <c r="AB119" s="76"/>
    </row>
    <row r="120" spans="2:28" ht="31.5">
      <c r="B120" s="79"/>
      <c r="C120" s="18" t="s">
        <v>6</v>
      </c>
      <c r="D120" s="18" t="s">
        <v>7</v>
      </c>
      <c r="E120" s="18" t="s">
        <v>6</v>
      </c>
      <c r="F120" s="18" t="s">
        <v>7</v>
      </c>
      <c r="G120" s="18" t="s">
        <v>6</v>
      </c>
      <c r="H120" s="18" t="s">
        <v>7</v>
      </c>
      <c r="I120" s="18" t="s">
        <v>6</v>
      </c>
      <c r="J120" s="18" t="s">
        <v>7</v>
      </c>
      <c r="K120" s="18" t="s">
        <v>6</v>
      </c>
      <c r="L120" s="18" t="s">
        <v>7</v>
      </c>
      <c r="M120" s="18" t="s">
        <v>6</v>
      </c>
      <c r="N120" s="18" t="s">
        <v>7</v>
      </c>
      <c r="O120" s="18" t="s">
        <v>6</v>
      </c>
      <c r="P120" s="18" t="s">
        <v>7</v>
      </c>
      <c r="Q120" s="18" t="s">
        <v>6</v>
      </c>
      <c r="R120" s="18" t="s">
        <v>7</v>
      </c>
      <c r="S120" s="18" t="s">
        <v>6</v>
      </c>
      <c r="T120" s="18" t="s">
        <v>7</v>
      </c>
      <c r="U120" s="18" t="s">
        <v>6</v>
      </c>
      <c r="V120" s="18" t="s">
        <v>7</v>
      </c>
      <c r="W120" s="18" t="s">
        <v>6</v>
      </c>
      <c r="X120" s="18" t="s">
        <v>7</v>
      </c>
      <c r="Y120" s="18" t="s">
        <v>6</v>
      </c>
      <c r="Z120" s="18" t="s">
        <v>7</v>
      </c>
      <c r="AA120" s="18" t="s">
        <v>6</v>
      </c>
      <c r="AB120" s="18" t="s">
        <v>7</v>
      </c>
    </row>
    <row r="121" spans="2:28" ht="15">
      <c r="B121" s="3" t="s">
        <v>8</v>
      </c>
      <c r="C121" s="12">
        <v>34</v>
      </c>
      <c r="D121" s="12">
        <v>34</v>
      </c>
      <c r="E121" s="12">
        <v>40</v>
      </c>
      <c r="F121" s="12">
        <v>40</v>
      </c>
      <c r="G121" s="12">
        <v>48</v>
      </c>
      <c r="H121" s="12">
        <v>48</v>
      </c>
      <c r="I121" s="12">
        <v>47</v>
      </c>
      <c r="J121" s="12">
        <v>47</v>
      </c>
      <c r="K121" s="12">
        <v>47</v>
      </c>
      <c r="L121" s="12">
        <v>47</v>
      </c>
      <c r="M121" s="12">
        <v>73</v>
      </c>
      <c r="N121" s="12">
        <v>73</v>
      </c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4"/>
      <c r="Z121" s="14"/>
      <c r="AA121" s="12">
        <f>+C121+E121+G121+I121+K121+M121+O121+Q121+S121+U121+W121+Y121</f>
        <v>289</v>
      </c>
      <c r="AB121" s="12">
        <f>+D121+F121+H121+J121+L121+N121+P121+R121+T121+V121+X121+Z121</f>
        <v>289</v>
      </c>
    </row>
    <row r="122" spans="2:28" ht="15">
      <c r="B122" s="4" t="s">
        <v>9</v>
      </c>
      <c r="C122" s="12"/>
      <c r="D122" s="12"/>
      <c r="E122" s="12"/>
      <c r="F122" s="12"/>
      <c r="G122" s="12">
        <v>2</v>
      </c>
      <c r="H122" s="12">
        <v>1</v>
      </c>
      <c r="I122" s="12">
        <v>1</v>
      </c>
      <c r="J122" s="12">
        <v>1</v>
      </c>
      <c r="K122" s="12">
        <v>1</v>
      </c>
      <c r="L122" s="12">
        <v>1</v>
      </c>
      <c r="M122" s="12">
        <v>3</v>
      </c>
      <c r="N122" s="12">
        <v>2</v>
      </c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4"/>
      <c r="Z122" s="14"/>
      <c r="AA122" s="12">
        <f t="shared" ref="AA122:AA132" si="52">+C122+E122+G122+I122+K122+M122+O122+Q122+S122+U122+W122+Y122</f>
        <v>7</v>
      </c>
      <c r="AB122" s="12">
        <f t="shared" ref="AB122:AB132" si="53">+D122+F122+H122+J122+L122+N122+P122+R122+T122+V122+X122+Z122</f>
        <v>5</v>
      </c>
    </row>
    <row r="123" spans="2:28" ht="15">
      <c r="B123" s="4" t="s">
        <v>10</v>
      </c>
      <c r="C123" s="12">
        <v>76</v>
      </c>
      <c r="D123" s="12">
        <v>25</v>
      </c>
      <c r="E123" s="12">
        <v>61</v>
      </c>
      <c r="F123" s="12">
        <v>20</v>
      </c>
      <c r="G123" s="12">
        <v>91</v>
      </c>
      <c r="H123" s="12">
        <v>36</v>
      </c>
      <c r="I123" s="12">
        <v>92</v>
      </c>
      <c r="J123" s="12">
        <v>21</v>
      </c>
      <c r="K123" s="12">
        <v>80</v>
      </c>
      <c r="L123" s="12">
        <v>24</v>
      </c>
      <c r="M123" s="12">
        <v>59</v>
      </c>
      <c r="N123" s="12">
        <v>25</v>
      </c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4"/>
      <c r="Z123" s="14"/>
      <c r="AA123" s="12">
        <f t="shared" si="52"/>
        <v>459</v>
      </c>
      <c r="AB123" s="12">
        <f t="shared" si="53"/>
        <v>151</v>
      </c>
    </row>
    <row r="124" spans="2:28" ht="15">
      <c r="B124" s="4" t="s">
        <v>11</v>
      </c>
      <c r="C124" s="12">
        <v>67</v>
      </c>
      <c r="D124" s="12">
        <v>66</v>
      </c>
      <c r="E124" s="12">
        <v>69</v>
      </c>
      <c r="F124" s="12">
        <v>69</v>
      </c>
      <c r="G124" s="12">
        <v>89</v>
      </c>
      <c r="H124" s="12">
        <v>86</v>
      </c>
      <c r="I124" s="12">
        <v>79</v>
      </c>
      <c r="J124" s="12">
        <v>77</v>
      </c>
      <c r="K124" s="12">
        <v>77</v>
      </c>
      <c r="L124" s="12">
        <v>77</v>
      </c>
      <c r="M124" s="12">
        <v>105</v>
      </c>
      <c r="N124" s="12">
        <v>102</v>
      </c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4"/>
      <c r="Z124" s="14"/>
      <c r="AA124" s="12">
        <f t="shared" si="52"/>
        <v>486</v>
      </c>
      <c r="AB124" s="12">
        <f t="shared" si="53"/>
        <v>477</v>
      </c>
    </row>
    <row r="125" spans="2:28" ht="15">
      <c r="B125" s="4" t="s">
        <v>12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4"/>
      <c r="Z125" s="14"/>
      <c r="AA125" s="12">
        <f t="shared" si="52"/>
        <v>0</v>
      </c>
      <c r="AB125" s="12">
        <f t="shared" si="53"/>
        <v>0</v>
      </c>
    </row>
    <row r="126" spans="2:28" ht="15">
      <c r="B126" s="4" t="s">
        <v>38</v>
      </c>
      <c r="C126" s="12">
        <v>93</v>
      </c>
      <c r="D126" s="12">
        <v>50</v>
      </c>
      <c r="E126" s="12">
        <v>102</v>
      </c>
      <c r="F126" s="12">
        <v>58</v>
      </c>
      <c r="G126" s="12">
        <v>135</v>
      </c>
      <c r="H126" s="12">
        <v>91</v>
      </c>
      <c r="I126" s="12">
        <v>92</v>
      </c>
      <c r="J126" s="12">
        <v>53</v>
      </c>
      <c r="K126" s="12">
        <v>60</v>
      </c>
      <c r="L126" s="12">
        <v>97</v>
      </c>
      <c r="M126" s="12">
        <v>130</v>
      </c>
      <c r="N126" s="12">
        <v>79</v>
      </c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4"/>
      <c r="Z126" s="14"/>
      <c r="AA126" s="12">
        <f t="shared" si="52"/>
        <v>612</v>
      </c>
      <c r="AB126" s="12">
        <f t="shared" si="53"/>
        <v>428</v>
      </c>
    </row>
    <row r="127" spans="2:28" ht="15">
      <c r="B127" s="4" t="s">
        <v>39</v>
      </c>
      <c r="C127" s="12">
        <v>6</v>
      </c>
      <c r="D127" s="12">
        <v>6</v>
      </c>
      <c r="E127" s="12">
        <v>4</v>
      </c>
      <c r="F127" s="12">
        <v>4</v>
      </c>
      <c r="G127" s="12">
        <v>6</v>
      </c>
      <c r="H127" s="12">
        <v>6</v>
      </c>
      <c r="I127" s="12">
        <v>2</v>
      </c>
      <c r="J127" s="12">
        <v>2</v>
      </c>
      <c r="K127" s="12">
        <v>5</v>
      </c>
      <c r="L127" s="12">
        <v>5</v>
      </c>
      <c r="M127" s="12">
        <v>2</v>
      </c>
      <c r="N127" s="12">
        <v>2</v>
      </c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4"/>
      <c r="Z127" s="14"/>
      <c r="AA127" s="12">
        <f t="shared" si="52"/>
        <v>25</v>
      </c>
      <c r="AB127" s="12">
        <f t="shared" si="53"/>
        <v>25</v>
      </c>
    </row>
    <row r="128" spans="2:28" ht="15">
      <c r="B128" s="4" t="s">
        <v>13</v>
      </c>
      <c r="C128" s="12">
        <v>211</v>
      </c>
      <c r="D128" s="12">
        <v>46</v>
      </c>
      <c r="E128" s="12">
        <v>223</v>
      </c>
      <c r="F128" s="12">
        <v>60</v>
      </c>
      <c r="G128" s="12">
        <v>292</v>
      </c>
      <c r="H128" s="12">
        <v>58</v>
      </c>
      <c r="I128" s="12">
        <v>220</v>
      </c>
      <c r="J128" s="12">
        <v>57</v>
      </c>
      <c r="K128" s="12">
        <v>270</v>
      </c>
      <c r="L128" s="12">
        <v>63</v>
      </c>
      <c r="M128" s="12">
        <v>361</v>
      </c>
      <c r="N128" s="12">
        <v>78</v>
      </c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4"/>
      <c r="Z128" s="14"/>
      <c r="AA128" s="12">
        <f t="shared" si="52"/>
        <v>1577</v>
      </c>
      <c r="AB128" s="12">
        <f t="shared" si="53"/>
        <v>362</v>
      </c>
    </row>
    <row r="129" spans="2:28" ht="15">
      <c r="B129" s="4" t="s">
        <v>14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4"/>
      <c r="Z129" s="14"/>
      <c r="AA129" s="12">
        <f t="shared" si="52"/>
        <v>0</v>
      </c>
      <c r="AB129" s="12">
        <f t="shared" si="53"/>
        <v>0</v>
      </c>
    </row>
    <row r="130" spans="2:28" ht="15">
      <c r="B130" s="4" t="s">
        <v>40</v>
      </c>
      <c r="C130" s="12">
        <v>13</v>
      </c>
      <c r="D130" s="12">
        <v>4</v>
      </c>
      <c r="E130" s="12">
        <v>49</v>
      </c>
      <c r="F130" s="12">
        <v>15</v>
      </c>
      <c r="G130" s="12">
        <v>73</v>
      </c>
      <c r="H130" s="12">
        <v>17</v>
      </c>
      <c r="I130" s="12">
        <v>52</v>
      </c>
      <c r="J130" s="12">
        <v>17</v>
      </c>
      <c r="K130" s="12">
        <v>68</v>
      </c>
      <c r="L130" s="12">
        <v>20</v>
      </c>
      <c r="M130" s="12">
        <v>104</v>
      </c>
      <c r="N130" s="12">
        <v>29</v>
      </c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4"/>
      <c r="Z130" s="14"/>
      <c r="AA130" s="12">
        <f t="shared" si="52"/>
        <v>359</v>
      </c>
      <c r="AB130" s="12">
        <f t="shared" si="53"/>
        <v>102</v>
      </c>
    </row>
    <row r="131" spans="2:28" ht="15">
      <c r="B131" s="4" t="s">
        <v>41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4"/>
      <c r="Z131" s="14"/>
      <c r="AA131" s="12">
        <f t="shared" si="52"/>
        <v>0</v>
      </c>
      <c r="AB131" s="12">
        <f t="shared" si="53"/>
        <v>0</v>
      </c>
    </row>
    <row r="132" spans="2:28" ht="15">
      <c r="B132" s="5" t="s">
        <v>15</v>
      </c>
      <c r="C132" s="12">
        <v>80</v>
      </c>
      <c r="D132" s="12">
        <v>11</v>
      </c>
      <c r="E132" s="12">
        <v>100</v>
      </c>
      <c r="F132" s="12">
        <v>12</v>
      </c>
      <c r="G132" s="12">
        <v>95</v>
      </c>
      <c r="H132" s="12">
        <v>12</v>
      </c>
      <c r="I132" s="12">
        <v>77</v>
      </c>
      <c r="J132" s="12">
        <v>9</v>
      </c>
      <c r="K132" s="12">
        <v>84</v>
      </c>
      <c r="L132" s="12">
        <v>13</v>
      </c>
      <c r="M132" s="12">
        <v>102</v>
      </c>
      <c r="N132" s="12">
        <v>13</v>
      </c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4"/>
      <c r="Z132" s="14"/>
      <c r="AA132" s="12">
        <f t="shared" si="52"/>
        <v>538</v>
      </c>
      <c r="AB132" s="12">
        <f t="shared" si="53"/>
        <v>70</v>
      </c>
    </row>
    <row r="133" spans="2:28" ht="15">
      <c r="B133" s="8" t="s">
        <v>16</v>
      </c>
      <c r="C133" s="13">
        <f t="shared" ref="C133:H133" si="54">SUM(C121:C132)</f>
        <v>580</v>
      </c>
      <c r="D133" s="13">
        <f t="shared" si="54"/>
        <v>242</v>
      </c>
      <c r="E133" s="13">
        <f t="shared" si="54"/>
        <v>648</v>
      </c>
      <c r="F133" s="13">
        <f t="shared" si="54"/>
        <v>278</v>
      </c>
      <c r="G133" s="13">
        <f t="shared" si="54"/>
        <v>831</v>
      </c>
      <c r="H133" s="13">
        <f t="shared" si="54"/>
        <v>355</v>
      </c>
      <c r="I133" s="13">
        <f t="shared" ref="I133:N133" si="55">SUM(I121:I132)</f>
        <v>662</v>
      </c>
      <c r="J133" s="13">
        <f t="shared" si="55"/>
        <v>284</v>
      </c>
      <c r="K133" s="13">
        <f t="shared" si="55"/>
        <v>692</v>
      </c>
      <c r="L133" s="13">
        <f t="shared" si="55"/>
        <v>347</v>
      </c>
      <c r="M133" s="13">
        <f t="shared" si="55"/>
        <v>939</v>
      </c>
      <c r="N133" s="13">
        <f t="shared" si="55"/>
        <v>403</v>
      </c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>
        <f>SUM(AA121:AA132)</f>
        <v>4352</v>
      </c>
      <c r="AB133" s="13">
        <f>SUM(AB121:AB132)</f>
        <v>1909</v>
      </c>
    </row>
    <row r="134" spans="2:28" ht="15">
      <c r="B134" s="17" t="s">
        <v>42</v>
      </c>
      <c r="C134" s="12">
        <v>2</v>
      </c>
      <c r="D134" s="12">
        <v>79</v>
      </c>
      <c r="E134" s="12">
        <v>2</v>
      </c>
      <c r="F134" s="12">
        <v>42</v>
      </c>
      <c r="G134" s="12">
        <v>3</v>
      </c>
      <c r="H134" s="12">
        <v>90</v>
      </c>
      <c r="I134" s="12">
        <v>3</v>
      </c>
      <c r="J134" s="12">
        <v>52</v>
      </c>
      <c r="K134" s="12">
        <v>4</v>
      </c>
      <c r="L134" s="12">
        <v>118</v>
      </c>
      <c r="M134" s="12">
        <v>4</v>
      </c>
      <c r="N134" s="12">
        <v>97</v>
      </c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4"/>
      <c r="Z134" s="14"/>
      <c r="AA134" s="12">
        <f>+C134+E134+G134+I134+K134+O134+M134+Q134+S134+U134+W134+Y134</f>
        <v>18</v>
      </c>
      <c r="AB134" s="12">
        <f>+D134+F134+H134+J134+L134+N134+P134+R134+T134+V134+X134+Z134</f>
        <v>478</v>
      </c>
    </row>
    <row r="135" spans="2:28" ht="15">
      <c r="B135" s="9" t="s">
        <v>16</v>
      </c>
      <c r="C135" s="13">
        <f t="shared" ref="C135:H135" si="56">SUM(C134)</f>
        <v>2</v>
      </c>
      <c r="D135" s="13">
        <f t="shared" si="56"/>
        <v>79</v>
      </c>
      <c r="E135" s="13">
        <f t="shared" si="56"/>
        <v>2</v>
      </c>
      <c r="F135" s="13">
        <f t="shared" si="56"/>
        <v>42</v>
      </c>
      <c r="G135" s="13">
        <f t="shared" si="56"/>
        <v>3</v>
      </c>
      <c r="H135" s="13">
        <f t="shared" si="56"/>
        <v>90</v>
      </c>
      <c r="I135" s="13">
        <f t="shared" ref="I135:N135" si="57">SUM(I134)</f>
        <v>3</v>
      </c>
      <c r="J135" s="13">
        <f t="shared" si="57"/>
        <v>52</v>
      </c>
      <c r="K135" s="13">
        <f t="shared" si="57"/>
        <v>4</v>
      </c>
      <c r="L135" s="13">
        <f t="shared" si="57"/>
        <v>118</v>
      </c>
      <c r="M135" s="13">
        <f t="shared" si="57"/>
        <v>4</v>
      </c>
      <c r="N135" s="13">
        <f t="shared" si="57"/>
        <v>97</v>
      </c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>
        <f t="shared" ref="AA135" si="58">+C135+E135+G135+I135+K135+O135+M135+Q135+S135+U135+W135+Y135</f>
        <v>18</v>
      </c>
      <c r="AB135" s="13">
        <f t="shared" ref="AB135" si="59">+D135+F135+H135+J135+L135+N135+P135+R135+T135+V135+X135+Z135</f>
        <v>478</v>
      </c>
    </row>
    <row r="136" spans="2:28" ht="15">
      <c r="B136" s="7" t="s">
        <v>43</v>
      </c>
      <c r="C136" s="12">
        <v>29</v>
      </c>
      <c r="D136" s="12">
        <v>29</v>
      </c>
      <c r="E136" s="12">
        <v>31</v>
      </c>
      <c r="F136" s="12">
        <v>28</v>
      </c>
      <c r="G136" s="12">
        <v>41</v>
      </c>
      <c r="H136" s="12">
        <v>41</v>
      </c>
      <c r="I136" s="12">
        <v>40</v>
      </c>
      <c r="J136" s="12">
        <v>40</v>
      </c>
      <c r="K136" s="12">
        <v>50</v>
      </c>
      <c r="L136" s="12">
        <v>50</v>
      </c>
      <c r="M136" s="12">
        <v>52</v>
      </c>
      <c r="N136" s="12">
        <v>51</v>
      </c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4"/>
      <c r="Z136" s="14"/>
      <c r="AA136" s="12">
        <f t="shared" ref="AA136" si="60">+C136+E136+G136+I136+K136+M136+O136+Q136+S136+U136+W136+Y136</f>
        <v>243</v>
      </c>
      <c r="AB136" s="12">
        <f t="shared" ref="AB136:AB137" si="61">+D136+F136+H136+J136+L136+P136+R136+T136+V136+X136+Z136+N136</f>
        <v>239</v>
      </c>
    </row>
    <row r="137" spans="2:28" ht="15">
      <c r="B137" s="10" t="s">
        <v>16</v>
      </c>
      <c r="C137" s="13">
        <f t="shared" ref="C137:H137" si="62">SUM(C136)</f>
        <v>29</v>
      </c>
      <c r="D137" s="13">
        <f t="shared" si="62"/>
        <v>29</v>
      </c>
      <c r="E137" s="13">
        <f t="shared" si="62"/>
        <v>31</v>
      </c>
      <c r="F137" s="13">
        <f t="shared" si="62"/>
        <v>28</v>
      </c>
      <c r="G137" s="13">
        <f t="shared" si="62"/>
        <v>41</v>
      </c>
      <c r="H137" s="13">
        <f t="shared" si="62"/>
        <v>41</v>
      </c>
      <c r="I137" s="13">
        <f t="shared" ref="I137:N137" si="63">SUM(I136)</f>
        <v>40</v>
      </c>
      <c r="J137" s="13">
        <f t="shared" si="63"/>
        <v>40</v>
      </c>
      <c r="K137" s="13">
        <f t="shared" si="63"/>
        <v>50</v>
      </c>
      <c r="L137" s="13">
        <f t="shared" si="63"/>
        <v>50</v>
      </c>
      <c r="M137" s="13">
        <f t="shared" si="63"/>
        <v>52</v>
      </c>
      <c r="N137" s="13">
        <f t="shared" si="63"/>
        <v>51</v>
      </c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>
        <f>+C137+E137+G137+I137+K137+M137+O137+Q137+S137+U137+W137+Y137</f>
        <v>243</v>
      </c>
      <c r="AB137" s="13">
        <f t="shared" si="61"/>
        <v>239</v>
      </c>
    </row>
    <row r="143" spans="2:28" ht="15.75">
      <c r="B143" s="86" t="s">
        <v>45</v>
      </c>
      <c r="C143" s="76" t="s">
        <v>34</v>
      </c>
      <c r="D143" s="76"/>
      <c r="E143" s="76" t="s">
        <v>35</v>
      </c>
      <c r="F143" s="76"/>
      <c r="G143" s="76" t="s">
        <v>24</v>
      </c>
      <c r="H143" s="76"/>
      <c r="I143" s="76" t="s">
        <v>36</v>
      </c>
      <c r="J143" s="76"/>
      <c r="K143" s="76" t="s">
        <v>26</v>
      </c>
      <c r="L143" s="76"/>
      <c r="M143" s="76" t="s">
        <v>27</v>
      </c>
      <c r="N143" s="76"/>
      <c r="O143" s="76" t="s">
        <v>28</v>
      </c>
      <c r="P143" s="76"/>
      <c r="Q143" s="76" t="s">
        <v>37</v>
      </c>
      <c r="R143" s="76"/>
      <c r="S143" s="76" t="s">
        <v>1</v>
      </c>
      <c r="T143" s="76"/>
      <c r="U143" s="76" t="s">
        <v>2</v>
      </c>
      <c r="V143" s="76"/>
      <c r="W143" s="76" t="s">
        <v>3</v>
      </c>
      <c r="X143" s="76"/>
      <c r="Y143" s="76" t="s">
        <v>4</v>
      </c>
      <c r="Z143" s="76"/>
      <c r="AA143" s="76" t="s">
        <v>5</v>
      </c>
      <c r="AB143" s="76"/>
    </row>
    <row r="144" spans="2:28" ht="31.5">
      <c r="B144" s="79"/>
      <c r="C144" s="18" t="s">
        <v>6</v>
      </c>
      <c r="D144" s="18" t="s">
        <v>7</v>
      </c>
      <c r="E144" s="18" t="s">
        <v>6</v>
      </c>
      <c r="F144" s="18" t="s">
        <v>7</v>
      </c>
      <c r="G144" s="18" t="s">
        <v>6</v>
      </c>
      <c r="H144" s="18" t="s">
        <v>7</v>
      </c>
      <c r="I144" s="18" t="s">
        <v>6</v>
      </c>
      <c r="J144" s="18" t="s">
        <v>7</v>
      </c>
      <c r="K144" s="18" t="s">
        <v>6</v>
      </c>
      <c r="L144" s="18" t="s">
        <v>7</v>
      </c>
      <c r="M144" s="18" t="s">
        <v>6</v>
      </c>
      <c r="N144" s="18" t="s">
        <v>7</v>
      </c>
      <c r="O144" s="18" t="s">
        <v>6</v>
      </c>
      <c r="P144" s="18" t="s">
        <v>7</v>
      </c>
      <c r="Q144" s="18" t="s">
        <v>6</v>
      </c>
      <c r="R144" s="18" t="s">
        <v>7</v>
      </c>
      <c r="S144" s="18" t="s">
        <v>6</v>
      </c>
      <c r="T144" s="18" t="s">
        <v>7</v>
      </c>
      <c r="U144" s="18" t="s">
        <v>6</v>
      </c>
      <c r="V144" s="18" t="s">
        <v>7</v>
      </c>
      <c r="W144" s="18" t="s">
        <v>6</v>
      </c>
      <c r="X144" s="18" t="s">
        <v>7</v>
      </c>
      <c r="Y144" s="18" t="s">
        <v>6</v>
      </c>
      <c r="Z144" s="18" t="s">
        <v>7</v>
      </c>
      <c r="AA144" s="18" t="s">
        <v>6</v>
      </c>
      <c r="AB144" s="18" t="s">
        <v>7</v>
      </c>
    </row>
    <row r="145" spans="2:28" ht="15">
      <c r="B145" s="3" t="s">
        <v>8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4"/>
      <c r="Z145" s="14"/>
      <c r="AA145" s="12">
        <f>+C145+E145+G145+I145+K145+M145+O145+Q145+S145+U145+W145+Y145</f>
        <v>0</v>
      </c>
      <c r="AB145" s="12">
        <f>+D145+F145+H145+J145+L145+N145+P145+R145+T145+V145+X145+Z145</f>
        <v>0</v>
      </c>
    </row>
    <row r="146" spans="2:28" ht="15">
      <c r="B146" s="4" t="s">
        <v>9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4"/>
      <c r="Z146" s="14"/>
      <c r="AA146" s="12">
        <f t="shared" ref="AA146:AA157" si="64">+C146+E146+G146+I146+K146+M146+O146+Q146+S146+U146+W146+Y146</f>
        <v>0</v>
      </c>
      <c r="AB146" s="12">
        <f t="shared" ref="AB146:AB157" si="65">+D146+F146+H146+J146+L146+N146+P146+R146+T146+V146+X146+Z146</f>
        <v>0</v>
      </c>
    </row>
    <row r="147" spans="2:28" ht="15">
      <c r="B147" s="4" t="s">
        <v>10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4"/>
      <c r="Z147" s="14"/>
      <c r="AA147" s="12">
        <f t="shared" si="64"/>
        <v>0</v>
      </c>
      <c r="AB147" s="12">
        <f t="shared" si="65"/>
        <v>0</v>
      </c>
    </row>
    <row r="148" spans="2:28" ht="15">
      <c r="B148" s="4" t="s">
        <v>11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4"/>
      <c r="Z148" s="14"/>
      <c r="AA148" s="12">
        <f t="shared" si="64"/>
        <v>0</v>
      </c>
      <c r="AB148" s="12">
        <f t="shared" si="65"/>
        <v>0</v>
      </c>
    </row>
    <row r="149" spans="2:28" ht="15">
      <c r="B149" s="4" t="s">
        <v>12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4"/>
      <c r="Z149" s="14"/>
      <c r="AA149" s="12">
        <f t="shared" si="64"/>
        <v>0</v>
      </c>
      <c r="AB149" s="12">
        <f t="shared" si="65"/>
        <v>0</v>
      </c>
    </row>
    <row r="150" spans="2:28" ht="15">
      <c r="B150" s="4" t="s">
        <v>38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4"/>
      <c r="Z150" s="14"/>
      <c r="AA150" s="12">
        <f t="shared" si="64"/>
        <v>0</v>
      </c>
      <c r="AB150" s="12">
        <f t="shared" si="65"/>
        <v>0</v>
      </c>
    </row>
    <row r="151" spans="2:28" ht="15">
      <c r="B151" s="4" t="s">
        <v>39</v>
      </c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4"/>
      <c r="Z151" s="14"/>
      <c r="AA151" s="12">
        <f t="shared" si="64"/>
        <v>0</v>
      </c>
      <c r="AB151" s="12">
        <f t="shared" si="65"/>
        <v>0</v>
      </c>
    </row>
    <row r="152" spans="2:28" ht="15">
      <c r="B152" s="4" t="s">
        <v>13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4"/>
      <c r="Z152" s="14"/>
      <c r="AA152" s="12">
        <f t="shared" si="64"/>
        <v>0</v>
      </c>
      <c r="AB152" s="12">
        <f t="shared" si="65"/>
        <v>0</v>
      </c>
    </row>
    <row r="153" spans="2:28" ht="15">
      <c r="B153" s="4" t="s">
        <v>14</v>
      </c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4"/>
      <c r="Z153" s="14"/>
      <c r="AA153" s="12">
        <f t="shared" si="64"/>
        <v>0</v>
      </c>
      <c r="AB153" s="12">
        <f t="shared" si="65"/>
        <v>0</v>
      </c>
    </row>
    <row r="154" spans="2:28" ht="15">
      <c r="B154" s="4" t="s">
        <v>40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4"/>
      <c r="Z154" s="14"/>
      <c r="AA154" s="12">
        <f t="shared" si="64"/>
        <v>0</v>
      </c>
      <c r="AB154" s="12">
        <f t="shared" si="65"/>
        <v>0</v>
      </c>
    </row>
    <row r="155" spans="2:28" ht="15">
      <c r="B155" s="4" t="s">
        <v>41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4"/>
      <c r="Z155" s="14"/>
      <c r="AA155" s="12">
        <f t="shared" si="64"/>
        <v>0</v>
      </c>
      <c r="AB155" s="12">
        <f t="shared" si="65"/>
        <v>0</v>
      </c>
    </row>
    <row r="156" spans="2:28" ht="15">
      <c r="B156" s="5" t="s">
        <v>15</v>
      </c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4"/>
      <c r="Z156" s="14"/>
      <c r="AA156" s="12">
        <f t="shared" si="64"/>
        <v>0</v>
      </c>
      <c r="AB156" s="12">
        <f t="shared" si="65"/>
        <v>0</v>
      </c>
    </row>
    <row r="157" spans="2:28" ht="15">
      <c r="B157" s="8" t="s">
        <v>16</v>
      </c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>
        <f t="shared" si="64"/>
        <v>0</v>
      </c>
      <c r="AB157" s="13">
        <f t="shared" si="65"/>
        <v>0</v>
      </c>
    </row>
    <row r="158" spans="2:28" ht="15">
      <c r="B158" s="17" t="s">
        <v>42</v>
      </c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4"/>
      <c r="Z158" s="14"/>
      <c r="AA158" s="12">
        <f>+C158+E158+G158+I158+K158+O158+M158+Q158+S158+U158+W158+Y158</f>
        <v>0</v>
      </c>
      <c r="AB158" s="12">
        <f>+D158+F158+H158+J158+L158+N158+P158+R158+T158+V158+X158+Z158</f>
        <v>0</v>
      </c>
    </row>
    <row r="159" spans="2:28" ht="15">
      <c r="B159" s="9" t="s">
        <v>16</v>
      </c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>
        <f t="shared" ref="AA159" si="66">+C159+E159+G159+I159+K159+O159+M159+Q159+S159+U159+W159+Y159</f>
        <v>0</v>
      </c>
      <c r="AB159" s="13">
        <f t="shared" ref="AB159" si="67">+D159+F159+H159+J159+L159+N159+P159+R159+T159+V159+X159+Z159</f>
        <v>0</v>
      </c>
    </row>
    <row r="160" spans="2:28" ht="15">
      <c r="B160" s="7" t="s">
        <v>43</v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4"/>
      <c r="Z160" s="14"/>
      <c r="AA160" s="12">
        <f t="shared" ref="AA160:AA161" si="68">+C160+E160+G160+I160+K160+M160+O160+Q160+S160+U160+W160+Y160</f>
        <v>0</v>
      </c>
      <c r="AB160" s="12">
        <f t="shared" ref="AB160:AB161" si="69">+D160+F160+H160+J160+L160+P160+R160+T160+V160+X160+Z160+N160</f>
        <v>0</v>
      </c>
    </row>
    <row r="161" spans="2:28" ht="15">
      <c r="B161" s="10" t="s">
        <v>16</v>
      </c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>
        <f t="shared" si="68"/>
        <v>0</v>
      </c>
      <c r="AB161" s="13">
        <f t="shared" si="69"/>
        <v>0</v>
      </c>
    </row>
    <row r="166" spans="2:28" ht="26.25">
      <c r="B166" s="83" t="s">
        <v>46</v>
      </c>
      <c r="C166" s="85"/>
      <c r="D166" s="85"/>
    </row>
    <row r="167" spans="2:28" ht="26.25">
      <c r="B167" s="84"/>
      <c r="C167" s="23" t="s">
        <v>6</v>
      </c>
      <c r="D167" s="23" t="s">
        <v>7</v>
      </c>
    </row>
    <row r="168" spans="2:28" ht="26.25">
      <c r="B168" s="24" t="s">
        <v>8</v>
      </c>
      <c r="C168" s="25">
        <f>+K13+AA34+AA55+AA76+AA98+AA121</f>
        <v>1679</v>
      </c>
      <c r="D168" s="26">
        <f>+L13+AB34+AB55+AB76+AB98+AB121</f>
        <v>1679</v>
      </c>
    </row>
    <row r="169" spans="2:28" ht="26.25">
      <c r="B169" s="27" t="s">
        <v>9</v>
      </c>
      <c r="C169" s="25">
        <f t="shared" ref="C169:C171" si="70">+K14+AA35+AA56+AA77+AA99+AA122</f>
        <v>947</v>
      </c>
      <c r="D169" s="26">
        <f t="shared" ref="D169:D171" si="71">+L14+AB35+AB56+AB77+AB99+AB122</f>
        <v>628</v>
      </c>
    </row>
    <row r="170" spans="2:28" ht="26.25">
      <c r="B170" s="27" t="s">
        <v>10</v>
      </c>
      <c r="C170" s="25">
        <f t="shared" si="70"/>
        <v>2377</v>
      </c>
      <c r="D170" s="26">
        <f t="shared" si="71"/>
        <v>739</v>
      </c>
    </row>
    <row r="171" spans="2:28" ht="26.25">
      <c r="B171" s="27" t="s">
        <v>11</v>
      </c>
      <c r="C171" s="25">
        <f t="shared" si="70"/>
        <v>3254</v>
      </c>
      <c r="D171" s="26">
        <f t="shared" si="71"/>
        <v>3192</v>
      </c>
    </row>
    <row r="172" spans="2:28" ht="26.25">
      <c r="B172" s="27" t="s">
        <v>12</v>
      </c>
      <c r="C172" s="25"/>
      <c r="D172" s="26"/>
    </row>
    <row r="173" spans="2:28" ht="26.25">
      <c r="B173" s="27" t="s">
        <v>38</v>
      </c>
      <c r="C173" s="25">
        <f>+AA103+AA126</f>
        <v>1720</v>
      </c>
      <c r="D173" s="26">
        <f>+AB103+AB126</f>
        <v>1129</v>
      </c>
    </row>
    <row r="174" spans="2:28" ht="26.25">
      <c r="B174" s="27" t="s">
        <v>39</v>
      </c>
      <c r="C174" s="25">
        <f>+AA104+AA127+AA151</f>
        <v>63</v>
      </c>
      <c r="D174" s="26">
        <f>+AB104+AB127</f>
        <v>62</v>
      </c>
    </row>
    <row r="175" spans="2:28" ht="26.25">
      <c r="B175" s="27" t="s">
        <v>13</v>
      </c>
      <c r="C175" s="25">
        <f>+K18+AA39+AA60+AA81+AA105+128+AA128</f>
        <v>8686</v>
      </c>
      <c r="D175" s="26">
        <f>+L18+AB39+AB60+AB81+AB105+AB128</f>
        <v>2103</v>
      </c>
    </row>
    <row r="176" spans="2:28" ht="26.25">
      <c r="B176" s="27" t="s">
        <v>14</v>
      </c>
      <c r="C176" s="25"/>
      <c r="D176" s="26"/>
    </row>
    <row r="177" spans="2:4" ht="26.25">
      <c r="B177" s="27" t="s">
        <v>40</v>
      </c>
      <c r="C177" s="25">
        <f>+AA107+AA130</f>
        <v>921</v>
      </c>
      <c r="D177" s="26">
        <f>+AB107+AB130</f>
        <v>242</v>
      </c>
    </row>
    <row r="178" spans="2:4" ht="26.25">
      <c r="B178" s="27" t="s">
        <v>41</v>
      </c>
      <c r="C178" s="25">
        <f>+AA108</f>
        <v>1</v>
      </c>
      <c r="D178" s="26">
        <f>+AB108</f>
        <v>1</v>
      </c>
    </row>
    <row r="179" spans="2:4" ht="26.25">
      <c r="B179" s="28" t="s">
        <v>15</v>
      </c>
      <c r="C179" s="25">
        <f>+K20+AA41+AA62+AA83+AA109+AA132</f>
        <v>2799</v>
      </c>
      <c r="D179" s="26">
        <f>+L20+AB41+AB62++AB83+AB109+AB132</f>
        <v>418</v>
      </c>
    </row>
    <row r="180" spans="2:4" ht="26.25">
      <c r="B180" s="29" t="s">
        <v>16</v>
      </c>
      <c r="C180" s="52">
        <f>SUM(C168:C179)</f>
        <v>22447</v>
      </c>
      <c r="D180" s="53">
        <f>SUM(D168:D179)</f>
        <v>10193</v>
      </c>
    </row>
    <row r="181" spans="2:4" ht="26.25">
      <c r="B181" s="32" t="s">
        <v>17</v>
      </c>
      <c r="C181" s="25">
        <f>+K22+AA43+AA64+AA85+AA111+AA134</f>
        <v>105</v>
      </c>
      <c r="D181" s="26">
        <f>+L22+AB45+AB64+AB85+AB111+AB134</f>
        <v>2170</v>
      </c>
    </row>
    <row r="182" spans="2:4" ht="26.25">
      <c r="B182" s="33" t="s">
        <v>16</v>
      </c>
      <c r="C182" s="52">
        <f>SUM(C181)</f>
        <v>105</v>
      </c>
      <c r="D182" s="53">
        <f>SUM(D181)</f>
        <v>2170</v>
      </c>
    </row>
    <row r="183" spans="2:4" ht="26.25">
      <c r="B183" s="34" t="s">
        <v>43</v>
      </c>
      <c r="C183" s="25">
        <f>+K24+K27+AA45+AA48+AA69+AA70+AA90+AA91+AA66+AA113+AA136+AA87</f>
        <v>1759</v>
      </c>
      <c r="D183" s="26">
        <f>+L24+L27+AB45+AB48+AB66+AB69+AB70+AB87+AB90+AB91+AB113+AB136</f>
        <v>1755</v>
      </c>
    </row>
    <row r="184" spans="2:4" ht="25.5">
      <c r="B184" s="35" t="s">
        <v>16</v>
      </c>
      <c r="C184" s="54">
        <f>SUM(C183)</f>
        <v>1759</v>
      </c>
      <c r="D184" s="54">
        <f>SUM(D183)</f>
        <v>1755</v>
      </c>
    </row>
  </sheetData>
  <mergeCells count="102">
    <mergeCell ref="W53:X53"/>
    <mergeCell ref="E53:F53"/>
    <mergeCell ref="G53:H53"/>
    <mergeCell ref="I53:J53"/>
    <mergeCell ref="K53:L53"/>
    <mergeCell ref="M53:N53"/>
    <mergeCell ref="Y53:Z53"/>
    <mergeCell ref="AA53:AB53"/>
    <mergeCell ref="B32:B33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S53:T53"/>
    <mergeCell ref="U53:V53"/>
    <mergeCell ref="K119:L119"/>
    <mergeCell ref="O74:P74"/>
    <mergeCell ref="Q74:R74"/>
    <mergeCell ref="B119:B120"/>
    <mergeCell ref="C119:D119"/>
    <mergeCell ref="E119:F119"/>
    <mergeCell ref="G119:H119"/>
    <mergeCell ref="I119:J119"/>
    <mergeCell ref="M119:N119"/>
    <mergeCell ref="O119:P119"/>
    <mergeCell ref="K96:L96"/>
    <mergeCell ref="M96:N96"/>
    <mergeCell ref="O96:P96"/>
    <mergeCell ref="K74:L74"/>
    <mergeCell ref="B96:B97"/>
    <mergeCell ref="C96:D96"/>
    <mergeCell ref="E96:F96"/>
    <mergeCell ref="K11:L11"/>
    <mergeCell ref="C11:D11"/>
    <mergeCell ref="B11:B12"/>
    <mergeCell ref="S74:T74"/>
    <mergeCell ref="U74:V74"/>
    <mergeCell ref="B53:B54"/>
    <mergeCell ref="C53:D53"/>
    <mergeCell ref="M74:N74"/>
    <mergeCell ref="O53:P53"/>
    <mergeCell ref="Q53:R53"/>
    <mergeCell ref="G143:H143"/>
    <mergeCell ref="I143:J143"/>
    <mergeCell ref="K143:L143"/>
    <mergeCell ref="M143:N143"/>
    <mergeCell ref="O143:P143"/>
    <mergeCell ref="B166:B167"/>
    <mergeCell ref="C166:D166"/>
    <mergeCell ref="B143:B144"/>
    <mergeCell ref="C143:D143"/>
    <mergeCell ref="E143:F143"/>
    <mergeCell ref="W119:X119"/>
    <mergeCell ref="Y119:Z119"/>
    <mergeCell ref="AA119:AB119"/>
    <mergeCell ref="Q143:R143"/>
    <mergeCell ref="W74:X74"/>
    <mergeCell ref="Y74:Z74"/>
    <mergeCell ref="AA74:AB74"/>
    <mergeCell ref="S143:T143"/>
    <mergeCell ref="U143:V143"/>
    <mergeCell ref="W143:X143"/>
    <mergeCell ref="Y143:Z143"/>
    <mergeCell ref="AA143:AB143"/>
    <mergeCell ref="Q119:R119"/>
    <mergeCell ref="S119:T119"/>
    <mergeCell ref="U119:V119"/>
    <mergeCell ref="U96:V96"/>
    <mergeCell ref="W96:X96"/>
    <mergeCell ref="Y96:Z96"/>
    <mergeCell ref="AA96:AB96"/>
    <mergeCell ref="Q96:R96"/>
    <mergeCell ref="S96:T96"/>
    <mergeCell ref="G96:H96"/>
    <mergeCell ref="I96:J96"/>
    <mergeCell ref="B2:D2"/>
    <mergeCell ref="B3:D3"/>
    <mergeCell ref="B74:B75"/>
    <mergeCell ref="E74:F74"/>
    <mergeCell ref="G74:H74"/>
    <mergeCell ref="C74:D74"/>
    <mergeCell ref="I74:J74"/>
    <mergeCell ref="B29:D29"/>
    <mergeCell ref="B31:D31"/>
    <mergeCell ref="B50:D50"/>
    <mergeCell ref="B51:D51"/>
    <mergeCell ref="B5:D5"/>
    <mergeCell ref="B72:D72"/>
    <mergeCell ref="B7:D7"/>
    <mergeCell ref="B8:D8"/>
    <mergeCell ref="E11:F11"/>
    <mergeCell ref="G11:H11"/>
    <mergeCell ref="I11:J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190"/>
  <sheetViews>
    <sheetView topLeftCell="D109" workbookViewId="0">
      <selection activeCell="Q133" sqref="Q133"/>
    </sheetView>
  </sheetViews>
  <sheetFormatPr baseColWidth="10" defaultColWidth="11.42578125" defaultRowHeight="12.75"/>
  <cols>
    <col min="1" max="1" width="7.28515625" style="1" customWidth="1"/>
    <col min="2" max="2" width="71.28515625" style="1" customWidth="1"/>
    <col min="3" max="3" width="20.140625" style="1" customWidth="1"/>
    <col min="4" max="4" width="28.140625" style="1" customWidth="1"/>
    <col min="5" max="5" width="11.42578125" style="1"/>
    <col min="6" max="6" width="18.85546875" style="1" customWidth="1"/>
    <col min="7" max="7" width="11.42578125" style="1"/>
    <col min="8" max="8" width="18.140625" style="1" customWidth="1"/>
    <col min="9" max="9" width="11.42578125" style="1"/>
    <col min="10" max="10" width="19.5703125" style="1" customWidth="1"/>
    <col min="11" max="11" width="11.42578125" style="1"/>
    <col min="12" max="12" width="19.85546875" style="1" customWidth="1"/>
    <col min="13" max="26" width="11.42578125" style="1"/>
    <col min="27" max="27" width="15.7109375" style="1" customWidth="1"/>
    <col min="28" max="28" width="18.42578125" style="1" customWidth="1"/>
    <col min="29" max="16384" width="11.42578125" style="1"/>
  </cols>
  <sheetData>
    <row r="1" spans="2:12" ht="15.75" customHeight="1"/>
    <row r="2" spans="2:12" ht="15.75" customHeight="1">
      <c r="B2" s="86" t="s">
        <v>0</v>
      </c>
      <c r="C2" s="76" t="s">
        <v>1</v>
      </c>
      <c r="D2" s="76"/>
      <c r="E2" s="76" t="s">
        <v>2</v>
      </c>
      <c r="F2" s="76"/>
      <c r="G2" s="76" t="s">
        <v>3</v>
      </c>
      <c r="H2" s="76"/>
      <c r="I2" s="76" t="s">
        <v>4</v>
      </c>
      <c r="J2" s="76"/>
      <c r="K2" s="81" t="s">
        <v>5</v>
      </c>
      <c r="L2" s="82"/>
    </row>
    <row r="3" spans="2:12" s="2" customFormat="1" ht="15.75">
      <c r="B3" s="79"/>
      <c r="C3" s="18" t="s">
        <v>6</v>
      </c>
      <c r="D3" s="18" t="s">
        <v>7</v>
      </c>
      <c r="E3" s="18" t="s">
        <v>6</v>
      </c>
      <c r="F3" s="18" t="s">
        <v>7</v>
      </c>
      <c r="G3" s="18" t="s">
        <v>6</v>
      </c>
      <c r="H3" s="18" t="s">
        <v>7</v>
      </c>
      <c r="I3" s="18" t="s">
        <v>6</v>
      </c>
      <c r="J3" s="18" t="s">
        <v>7</v>
      </c>
      <c r="K3" s="19" t="s">
        <v>6</v>
      </c>
      <c r="L3" s="19" t="s">
        <v>7</v>
      </c>
    </row>
    <row r="4" spans="2:12" ht="20.25" customHeight="1">
      <c r="B4" s="3" t="s">
        <v>8</v>
      </c>
      <c r="C4" s="12">
        <v>14</v>
      </c>
      <c r="D4" s="12">
        <v>14</v>
      </c>
      <c r="E4" s="12">
        <v>13</v>
      </c>
      <c r="F4" s="12">
        <v>13</v>
      </c>
      <c r="G4" s="12">
        <v>45</v>
      </c>
      <c r="H4" s="12">
        <v>45</v>
      </c>
      <c r="I4" s="12">
        <v>33</v>
      </c>
      <c r="J4" s="12">
        <v>33</v>
      </c>
      <c r="K4" s="14">
        <f>+C4+E4+G4+I4</f>
        <v>105</v>
      </c>
      <c r="L4" s="14">
        <f>+D4+F4+H4+J4</f>
        <v>105</v>
      </c>
    </row>
    <row r="5" spans="2:12" ht="20.25" customHeight="1">
      <c r="B5" s="4" t="s">
        <v>9</v>
      </c>
      <c r="C5" s="12"/>
      <c r="D5" s="12"/>
      <c r="E5" s="12"/>
      <c r="F5" s="12"/>
      <c r="G5" s="12"/>
      <c r="H5" s="12"/>
      <c r="I5" s="12"/>
      <c r="J5" s="12"/>
      <c r="K5" s="14">
        <f t="shared" ref="K5:K11" si="0">+C5+E5+G5+I5</f>
        <v>0</v>
      </c>
      <c r="L5" s="14">
        <f t="shared" ref="L5:L11" si="1">+D5+F5+H5+J5</f>
        <v>0</v>
      </c>
    </row>
    <row r="6" spans="2:12" ht="20.25" customHeight="1">
      <c r="B6" s="4" t="s">
        <v>10</v>
      </c>
      <c r="C6" s="12"/>
      <c r="D6" s="12"/>
      <c r="E6" s="12"/>
      <c r="F6" s="12"/>
      <c r="G6" s="12"/>
      <c r="H6" s="12"/>
      <c r="I6" s="12"/>
      <c r="J6" s="12"/>
      <c r="K6" s="14">
        <f t="shared" si="0"/>
        <v>0</v>
      </c>
      <c r="L6" s="14">
        <f t="shared" si="1"/>
        <v>0</v>
      </c>
    </row>
    <row r="7" spans="2:12" ht="20.25" customHeight="1">
      <c r="B7" s="4" t="s">
        <v>11</v>
      </c>
      <c r="C7" s="12"/>
      <c r="D7" s="12"/>
      <c r="E7" s="12">
        <v>13</v>
      </c>
      <c r="F7" s="12">
        <v>13</v>
      </c>
      <c r="G7" s="12">
        <v>27</v>
      </c>
      <c r="H7" s="12">
        <v>26</v>
      </c>
      <c r="I7" s="12">
        <v>10</v>
      </c>
      <c r="J7" s="12">
        <v>10</v>
      </c>
      <c r="K7" s="14">
        <f t="shared" si="0"/>
        <v>50</v>
      </c>
      <c r="L7" s="14">
        <f t="shared" si="1"/>
        <v>49</v>
      </c>
    </row>
    <row r="8" spans="2:12" ht="15">
      <c r="B8" s="4" t="s">
        <v>12</v>
      </c>
      <c r="C8" s="12"/>
      <c r="D8" s="12"/>
      <c r="E8" s="12"/>
      <c r="F8" s="12"/>
      <c r="G8" s="12"/>
      <c r="H8" s="12"/>
      <c r="I8" s="12"/>
      <c r="J8" s="12"/>
      <c r="K8" s="14">
        <f t="shared" si="0"/>
        <v>0</v>
      </c>
      <c r="L8" s="14">
        <f t="shared" si="1"/>
        <v>0</v>
      </c>
    </row>
    <row r="9" spans="2:12" ht="20.25" customHeight="1">
      <c r="B9" s="4" t="s">
        <v>13</v>
      </c>
      <c r="C9" s="12">
        <v>84</v>
      </c>
      <c r="D9" s="12">
        <v>21</v>
      </c>
      <c r="E9" s="12">
        <v>91</v>
      </c>
      <c r="F9" s="12">
        <v>23</v>
      </c>
      <c r="G9" s="12">
        <v>116</v>
      </c>
      <c r="H9" s="12">
        <v>12</v>
      </c>
      <c r="I9" s="12">
        <v>93</v>
      </c>
      <c r="J9" s="12">
        <v>29</v>
      </c>
      <c r="K9" s="14">
        <f t="shared" si="0"/>
        <v>384</v>
      </c>
      <c r="L9" s="14">
        <f t="shared" si="1"/>
        <v>85</v>
      </c>
    </row>
    <row r="10" spans="2:12" ht="20.25" customHeight="1">
      <c r="B10" s="4" t="s">
        <v>14</v>
      </c>
      <c r="C10" s="12"/>
      <c r="D10" s="12"/>
      <c r="E10" s="12"/>
      <c r="F10" s="12"/>
      <c r="G10" s="12"/>
      <c r="H10" s="12"/>
      <c r="I10" s="12"/>
      <c r="J10" s="12"/>
      <c r="K10" s="14">
        <f t="shared" si="0"/>
        <v>0</v>
      </c>
      <c r="L10" s="14">
        <f t="shared" si="1"/>
        <v>0</v>
      </c>
    </row>
    <row r="11" spans="2:12" ht="15">
      <c r="B11" s="5" t="s">
        <v>15</v>
      </c>
      <c r="C11" s="12"/>
      <c r="D11" s="12"/>
      <c r="E11" s="12"/>
      <c r="F11" s="12"/>
      <c r="G11" s="12"/>
      <c r="H11" s="12"/>
      <c r="I11" s="12"/>
      <c r="J11" s="12"/>
      <c r="K11" s="14">
        <f t="shared" si="0"/>
        <v>0</v>
      </c>
      <c r="L11" s="14">
        <f t="shared" si="1"/>
        <v>0</v>
      </c>
    </row>
    <row r="12" spans="2:12" ht="15">
      <c r="B12" s="8" t="s">
        <v>16</v>
      </c>
      <c r="C12" s="13">
        <f t="shared" ref="C12:J12" si="2">SUM(C4:C11)</f>
        <v>98</v>
      </c>
      <c r="D12" s="13">
        <f t="shared" si="2"/>
        <v>35</v>
      </c>
      <c r="E12" s="13">
        <f t="shared" si="2"/>
        <v>117</v>
      </c>
      <c r="F12" s="13">
        <f t="shared" si="2"/>
        <v>49</v>
      </c>
      <c r="G12" s="13">
        <f t="shared" si="2"/>
        <v>188</v>
      </c>
      <c r="H12" s="13">
        <f t="shared" si="2"/>
        <v>83</v>
      </c>
      <c r="I12" s="13">
        <f t="shared" si="2"/>
        <v>136</v>
      </c>
      <c r="J12" s="13">
        <f t="shared" si="2"/>
        <v>72</v>
      </c>
      <c r="K12" s="13">
        <f>+C12+E12+G12+I12</f>
        <v>539</v>
      </c>
      <c r="L12" s="13">
        <f>+D12+F12+H12+J12</f>
        <v>239</v>
      </c>
    </row>
    <row r="13" spans="2:12" ht="15">
      <c r="B13" s="6" t="s">
        <v>17</v>
      </c>
      <c r="C13" s="12"/>
      <c r="D13" s="12"/>
      <c r="E13" s="12"/>
      <c r="F13" s="12"/>
      <c r="G13" s="12"/>
      <c r="H13" s="12"/>
      <c r="I13" s="12"/>
      <c r="J13" s="12"/>
      <c r="K13" s="14"/>
      <c r="L13" s="14"/>
    </row>
    <row r="14" spans="2:12" ht="15">
      <c r="B14" s="9" t="s">
        <v>16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2:12" ht="15">
      <c r="B15" s="7" t="s">
        <v>18</v>
      </c>
      <c r="C15" s="12"/>
      <c r="D15" s="12"/>
      <c r="E15" s="12"/>
      <c r="F15" s="12"/>
      <c r="G15" s="12"/>
      <c r="H15" s="12"/>
      <c r="I15" s="12">
        <v>2</v>
      </c>
      <c r="J15" s="12">
        <v>2</v>
      </c>
      <c r="K15" s="15">
        <f>+C15+E15+G15+I15</f>
        <v>2</v>
      </c>
      <c r="L15" s="15">
        <f>+D15+F15+H15+J15</f>
        <v>2</v>
      </c>
    </row>
    <row r="16" spans="2:12" ht="37.5" customHeight="1">
      <c r="B16" s="10" t="s">
        <v>16</v>
      </c>
      <c r="C16" s="13"/>
      <c r="D16" s="13"/>
      <c r="E16" s="13"/>
      <c r="F16" s="13"/>
      <c r="G16" s="13"/>
      <c r="H16" s="13"/>
      <c r="I16" s="13">
        <f>SUM(I15)</f>
        <v>2</v>
      </c>
      <c r="J16" s="13">
        <f>SUM(J15)</f>
        <v>2</v>
      </c>
      <c r="K16" s="16">
        <f>SUM(K15)</f>
        <v>2</v>
      </c>
      <c r="L16" s="16">
        <f>SUM(L15)</f>
        <v>2</v>
      </c>
    </row>
    <row r="17" spans="2:28" ht="15">
      <c r="B17" s="21" t="s">
        <v>19</v>
      </c>
      <c r="C17" s="14"/>
      <c r="D17" s="14"/>
      <c r="E17" s="14"/>
      <c r="F17" s="14"/>
      <c r="G17" s="14"/>
      <c r="H17" s="14"/>
      <c r="I17" s="14"/>
      <c r="J17" s="14"/>
      <c r="K17" s="12">
        <f>+C17+E17+G17+I17</f>
        <v>0</v>
      </c>
      <c r="L17" s="12">
        <f>+D17+F17+H17+J17</f>
        <v>0</v>
      </c>
    </row>
    <row r="18" spans="2:28" ht="15">
      <c r="B18" s="22" t="s">
        <v>20</v>
      </c>
      <c r="C18" s="14">
        <v>3</v>
      </c>
      <c r="D18" s="14">
        <v>3</v>
      </c>
      <c r="E18" s="14"/>
      <c r="F18" s="14"/>
      <c r="G18" s="14"/>
      <c r="H18" s="14"/>
      <c r="I18" s="14">
        <v>1</v>
      </c>
      <c r="J18" s="14">
        <v>1</v>
      </c>
      <c r="K18" s="12">
        <f>+C18+E18+G18+I18</f>
        <v>4</v>
      </c>
      <c r="L18" s="12">
        <f>+D18+F18+H18+J18</f>
        <v>4</v>
      </c>
    </row>
    <row r="19" spans="2:28" ht="15">
      <c r="B19" s="10" t="s">
        <v>16</v>
      </c>
      <c r="C19" s="13">
        <f>SUM(C18)</f>
        <v>3</v>
      </c>
      <c r="D19" s="13">
        <f>SUM(D18)</f>
        <v>3</v>
      </c>
      <c r="E19" s="13"/>
      <c r="F19" s="13"/>
      <c r="G19" s="13"/>
      <c r="H19" s="13"/>
      <c r="I19" s="13">
        <f>SUM(I18)</f>
        <v>1</v>
      </c>
      <c r="J19" s="13">
        <f>SUM(J18)</f>
        <v>1</v>
      </c>
      <c r="K19" s="13">
        <f>SUM(K17:K18)</f>
        <v>4</v>
      </c>
      <c r="L19" s="13">
        <f>SUM(L17:L18)</f>
        <v>4</v>
      </c>
    </row>
    <row r="20" spans="2:28" ht="18" customHeight="1">
      <c r="B20" s="77"/>
      <c r="C20" s="77"/>
      <c r="D20" s="77"/>
    </row>
    <row r="21" spans="2:28" ht="18" customHeight="1">
      <c r="B21" s="90"/>
      <c r="C21" s="90"/>
      <c r="D21" s="90"/>
    </row>
    <row r="22" spans="2:28" ht="15.75" customHeight="1">
      <c r="B22" s="86" t="s">
        <v>21</v>
      </c>
      <c r="C22" s="76" t="s">
        <v>47</v>
      </c>
      <c r="D22" s="76"/>
      <c r="E22" s="76" t="s">
        <v>35</v>
      </c>
      <c r="F22" s="76"/>
      <c r="G22" s="76" t="s">
        <v>24</v>
      </c>
      <c r="H22" s="76"/>
      <c r="I22" s="76" t="s">
        <v>36</v>
      </c>
      <c r="J22" s="76"/>
      <c r="K22" s="76" t="s">
        <v>26</v>
      </c>
      <c r="L22" s="76"/>
      <c r="M22" s="76" t="s">
        <v>27</v>
      </c>
      <c r="N22" s="76"/>
      <c r="O22" s="76" t="s">
        <v>48</v>
      </c>
      <c r="P22" s="76"/>
      <c r="Q22" s="76" t="s">
        <v>37</v>
      </c>
      <c r="R22" s="76"/>
      <c r="S22" s="76" t="s">
        <v>1</v>
      </c>
      <c r="T22" s="76"/>
      <c r="U22" s="76" t="s">
        <v>2</v>
      </c>
      <c r="V22" s="76"/>
      <c r="W22" s="76" t="s">
        <v>3</v>
      </c>
      <c r="X22" s="76"/>
      <c r="Y22" s="76" t="s">
        <v>4</v>
      </c>
      <c r="Z22" s="76"/>
      <c r="AA22" s="81" t="s">
        <v>5</v>
      </c>
      <c r="AB22" s="82"/>
    </row>
    <row r="23" spans="2:28" s="2" customFormat="1" ht="31.5">
      <c r="B23" s="79"/>
      <c r="C23" s="18" t="s">
        <v>6</v>
      </c>
      <c r="D23" s="18" t="s">
        <v>7</v>
      </c>
      <c r="E23" s="18" t="s">
        <v>6</v>
      </c>
      <c r="F23" s="18" t="s">
        <v>7</v>
      </c>
      <c r="G23" s="18" t="s">
        <v>6</v>
      </c>
      <c r="H23" s="18" t="s">
        <v>7</v>
      </c>
      <c r="I23" s="18" t="s">
        <v>6</v>
      </c>
      <c r="J23" s="18" t="s">
        <v>7</v>
      </c>
      <c r="K23" s="18" t="s">
        <v>6</v>
      </c>
      <c r="L23" s="18" t="s">
        <v>7</v>
      </c>
      <c r="M23" s="18" t="s">
        <v>6</v>
      </c>
      <c r="N23" s="18" t="s">
        <v>7</v>
      </c>
      <c r="O23" s="18" t="s">
        <v>6</v>
      </c>
      <c r="P23" s="18" t="s">
        <v>7</v>
      </c>
      <c r="Q23" s="18" t="s">
        <v>6</v>
      </c>
      <c r="R23" s="18" t="s">
        <v>7</v>
      </c>
      <c r="S23" s="18" t="s">
        <v>6</v>
      </c>
      <c r="T23" s="18" t="s">
        <v>7</v>
      </c>
      <c r="U23" s="18" t="s">
        <v>6</v>
      </c>
      <c r="V23" s="18" t="s">
        <v>7</v>
      </c>
      <c r="W23" s="18" t="s">
        <v>6</v>
      </c>
      <c r="X23" s="18" t="s">
        <v>7</v>
      </c>
      <c r="Y23" s="18" t="s">
        <v>6</v>
      </c>
      <c r="Z23" s="18" t="s">
        <v>7</v>
      </c>
      <c r="AA23" s="19" t="s">
        <v>6</v>
      </c>
      <c r="AB23" s="19" t="s">
        <v>7</v>
      </c>
    </row>
    <row r="24" spans="2:28" ht="20.25" customHeight="1">
      <c r="B24" s="3" t="s">
        <v>8</v>
      </c>
      <c r="C24" s="12">
        <v>9</v>
      </c>
      <c r="D24" s="12">
        <v>9</v>
      </c>
      <c r="E24" s="12">
        <v>17</v>
      </c>
      <c r="F24" s="12">
        <v>17</v>
      </c>
      <c r="G24" s="12">
        <v>24</v>
      </c>
      <c r="H24" s="12">
        <v>24</v>
      </c>
      <c r="I24" s="12">
        <v>19</v>
      </c>
      <c r="J24" s="12">
        <v>19</v>
      </c>
      <c r="K24" s="12">
        <v>42</v>
      </c>
      <c r="L24" s="12">
        <v>42</v>
      </c>
      <c r="M24" s="12">
        <v>26</v>
      </c>
      <c r="N24" s="12">
        <v>26</v>
      </c>
      <c r="O24" s="12">
        <v>11</v>
      </c>
      <c r="P24" s="12">
        <v>11</v>
      </c>
      <c r="Q24" s="12">
        <v>17</v>
      </c>
      <c r="R24" s="12">
        <v>17</v>
      </c>
      <c r="S24" s="12">
        <v>22</v>
      </c>
      <c r="T24" s="12">
        <v>22</v>
      </c>
      <c r="U24" s="12">
        <v>25</v>
      </c>
      <c r="V24" s="12">
        <v>25</v>
      </c>
      <c r="W24" s="12">
        <v>13</v>
      </c>
      <c r="X24" s="12">
        <v>13</v>
      </c>
      <c r="Y24" s="12"/>
      <c r="Z24" s="12"/>
      <c r="AA24" s="14">
        <f>+C24+E24+G24+I24+K24+M24+O24+Q24+S24+U24+W24+Y24</f>
        <v>225</v>
      </c>
      <c r="AB24" s="14">
        <f>+D24+F24+H24+J24+L24+N24+R24+T24+V24+X24+Z24</f>
        <v>214</v>
      </c>
    </row>
    <row r="25" spans="2:28" ht="20.25" customHeight="1">
      <c r="B25" s="4" t="s">
        <v>9</v>
      </c>
      <c r="C25" s="12"/>
      <c r="D25" s="12"/>
      <c r="E25" s="12">
        <v>2</v>
      </c>
      <c r="F25" s="12">
        <v>4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4">
        <f t="shared" ref="AA25:AA32" si="3">+C25+E25+G25+I25+K25+M25+O25+Q25+S25+U25+W25+Y25</f>
        <v>2</v>
      </c>
      <c r="AB25" s="14">
        <f t="shared" ref="AB25:AB32" si="4">+D25+F25+H25+J25+L25+N25+R25+T25+V25+X25+Z25</f>
        <v>4</v>
      </c>
    </row>
    <row r="26" spans="2:28" ht="20.25" customHeight="1">
      <c r="B26" s="4" t="s">
        <v>10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4">
        <f t="shared" si="3"/>
        <v>0</v>
      </c>
      <c r="AB26" s="14">
        <f t="shared" si="4"/>
        <v>0</v>
      </c>
    </row>
    <row r="27" spans="2:28" ht="20.25" customHeight="1">
      <c r="B27" s="4" t="s">
        <v>11</v>
      </c>
      <c r="C27" s="12">
        <v>19</v>
      </c>
      <c r="D27" s="12">
        <v>19</v>
      </c>
      <c r="E27" s="12">
        <v>28</v>
      </c>
      <c r="F27" s="12">
        <v>28</v>
      </c>
      <c r="G27" s="12">
        <v>34</v>
      </c>
      <c r="H27" s="12">
        <v>34</v>
      </c>
      <c r="I27" s="12">
        <v>19</v>
      </c>
      <c r="J27" s="12">
        <v>19</v>
      </c>
      <c r="K27" s="12">
        <v>33</v>
      </c>
      <c r="L27" s="12">
        <v>33</v>
      </c>
      <c r="M27" s="12">
        <v>44</v>
      </c>
      <c r="N27" s="12">
        <v>42</v>
      </c>
      <c r="O27" s="12">
        <v>20</v>
      </c>
      <c r="P27" s="12">
        <v>19</v>
      </c>
      <c r="Q27" s="12">
        <v>28</v>
      </c>
      <c r="R27" s="12">
        <v>28</v>
      </c>
      <c r="S27" s="12">
        <v>34</v>
      </c>
      <c r="T27" s="12">
        <v>33</v>
      </c>
      <c r="U27" s="12">
        <v>27</v>
      </c>
      <c r="V27" s="12">
        <v>27</v>
      </c>
      <c r="W27" s="12">
        <v>22</v>
      </c>
      <c r="X27" s="12">
        <v>21</v>
      </c>
      <c r="Y27" s="12"/>
      <c r="Z27" s="12"/>
      <c r="AA27" s="14">
        <f t="shared" si="3"/>
        <v>308</v>
      </c>
      <c r="AB27" s="14">
        <f t="shared" si="4"/>
        <v>284</v>
      </c>
    </row>
    <row r="28" spans="2:28" ht="15">
      <c r="B28" s="4" t="s">
        <v>12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4">
        <f t="shared" si="3"/>
        <v>0</v>
      </c>
      <c r="AB28" s="14">
        <f t="shared" si="4"/>
        <v>0</v>
      </c>
    </row>
    <row r="29" spans="2:28" ht="20.25" customHeight="1">
      <c r="B29" s="4" t="s">
        <v>13</v>
      </c>
      <c r="C29" s="12">
        <v>102</v>
      </c>
      <c r="D29" s="12">
        <v>29</v>
      </c>
      <c r="E29" s="12">
        <v>156</v>
      </c>
      <c r="F29" s="12">
        <v>35</v>
      </c>
      <c r="G29" s="12">
        <v>198</v>
      </c>
      <c r="H29" s="12">
        <v>46</v>
      </c>
      <c r="I29" s="12">
        <v>160</v>
      </c>
      <c r="J29" s="12">
        <v>36</v>
      </c>
      <c r="K29" s="12">
        <v>193</v>
      </c>
      <c r="L29" s="12">
        <v>43</v>
      </c>
      <c r="M29" s="12">
        <v>231</v>
      </c>
      <c r="N29" s="12">
        <v>49</v>
      </c>
      <c r="O29" s="12">
        <v>129</v>
      </c>
      <c r="P29" s="12">
        <v>41</v>
      </c>
      <c r="Q29" s="12">
        <v>135</v>
      </c>
      <c r="R29" s="12">
        <v>34</v>
      </c>
      <c r="S29" s="12">
        <v>131</v>
      </c>
      <c r="T29" s="12">
        <v>46</v>
      </c>
      <c r="U29" s="12">
        <v>153</v>
      </c>
      <c r="V29" s="12">
        <v>38</v>
      </c>
      <c r="W29" s="12">
        <v>140</v>
      </c>
      <c r="X29" s="12">
        <v>42</v>
      </c>
      <c r="Y29" s="12"/>
      <c r="Z29" s="12"/>
      <c r="AA29" s="14">
        <f t="shared" si="3"/>
        <v>1728</v>
      </c>
      <c r="AB29" s="14">
        <f t="shared" si="4"/>
        <v>398</v>
      </c>
    </row>
    <row r="30" spans="2:28" ht="20.25" customHeight="1">
      <c r="B30" s="4" t="s">
        <v>14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4">
        <f t="shared" si="3"/>
        <v>0</v>
      </c>
      <c r="AB30" s="14">
        <f t="shared" si="4"/>
        <v>0</v>
      </c>
    </row>
    <row r="31" spans="2:28" ht="15">
      <c r="B31" s="5" t="s">
        <v>15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>
        <v>50</v>
      </c>
      <c r="P31" s="12">
        <v>17</v>
      </c>
      <c r="Q31" s="12"/>
      <c r="R31" s="12"/>
      <c r="S31" s="12"/>
      <c r="T31" s="12"/>
      <c r="U31" s="12"/>
      <c r="V31" s="12"/>
      <c r="W31" s="12">
        <v>107</v>
      </c>
      <c r="X31" s="12">
        <v>18</v>
      </c>
      <c r="Y31" s="12"/>
      <c r="Z31" s="12"/>
      <c r="AA31" s="14">
        <f t="shared" si="3"/>
        <v>157</v>
      </c>
      <c r="AB31" s="14">
        <f t="shared" si="4"/>
        <v>18</v>
      </c>
    </row>
    <row r="32" spans="2:28" ht="15">
      <c r="B32" s="8" t="s">
        <v>16</v>
      </c>
      <c r="C32" s="13">
        <f t="shared" ref="C32:P32" si="5">SUM(C24:C31)</f>
        <v>130</v>
      </c>
      <c r="D32" s="13">
        <f t="shared" si="5"/>
        <v>57</v>
      </c>
      <c r="E32" s="13">
        <f t="shared" si="5"/>
        <v>203</v>
      </c>
      <c r="F32" s="13">
        <f t="shared" si="5"/>
        <v>84</v>
      </c>
      <c r="G32" s="13">
        <f t="shared" si="5"/>
        <v>256</v>
      </c>
      <c r="H32" s="13">
        <f t="shared" si="5"/>
        <v>104</v>
      </c>
      <c r="I32" s="13">
        <f t="shared" si="5"/>
        <v>198</v>
      </c>
      <c r="J32" s="13">
        <f t="shared" si="5"/>
        <v>74</v>
      </c>
      <c r="K32" s="13">
        <f t="shared" si="5"/>
        <v>268</v>
      </c>
      <c r="L32" s="13">
        <f t="shared" si="5"/>
        <v>118</v>
      </c>
      <c r="M32" s="13">
        <f t="shared" si="5"/>
        <v>301</v>
      </c>
      <c r="N32" s="13">
        <f t="shared" si="5"/>
        <v>117</v>
      </c>
      <c r="O32" s="13">
        <f t="shared" si="5"/>
        <v>210</v>
      </c>
      <c r="P32" s="13">
        <f t="shared" si="5"/>
        <v>88</v>
      </c>
      <c r="Q32" s="13">
        <f t="shared" ref="Q32:V32" si="6">SUM(Q24:Q31)</f>
        <v>180</v>
      </c>
      <c r="R32" s="13">
        <f t="shared" si="6"/>
        <v>79</v>
      </c>
      <c r="S32" s="13">
        <f t="shared" si="6"/>
        <v>187</v>
      </c>
      <c r="T32" s="13">
        <f t="shared" si="6"/>
        <v>101</v>
      </c>
      <c r="U32" s="13">
        <f t="shared" si="6"/>
        <v>205</v>
      </c>
      <c r="V32" s="13">
        <f t="shared" si="6"/>
        <v>90</v>
      </c>
      <c r="W32" s="13">
        <f>SUM(W24:W31)</f>
        <v>282</v>
      </c>
      <c r="X32" s="13">
        <f>SUM(X24:X31)</f>
        <v>94</v>
      </c>
      <c r="Y32" s="13"/>
      <c r="Z32" s="13"/>
      <c r="AA32" s="13">
        <f t="shared" si="3"/>
        <v>2420</v>
      </c>
      <c r="AB32" s="13">
        <f t="shared" si="4"/>
        <v>918</v>
      </c>
    </row>
    <row r="33" spans="2:28" ht="15">
      <c r="B33" s="6" t="s">
        <v>17</v>
      </c>
      <c r="C33" s="12">
        <v>1</v>
      </c>
      <c r="D33" s="12">
        <v>3</v>
      </c>
      <c r="E33" s="12">
        <v>1</v>
      </c>
      <c r="F33" s="12">
        <v>1</v>
      </c>
      <c r="G33" s="12">
        <v>1</v>
      </c>
      <c r="H33" s="12">
        <v>4</v>
      </c>
      <c r="I33" s="12">
        <v>1</v>
      </c>
      <c r="J33" s="12">
        <v>5</v>
      </c>
      <c r="K33" s="12">
        <v>1</v>
      </c>
      <c r="L33" s="12">
        <v>13</v>
      </c>
      <c r="M33" s="12">
        <v>1</v>
      </c>
      <c r="N33" s="12">
        <v>22</v>
      </c>
      <c r="O33" s="12">
        <v>1</v>
      </c>
      <c r="P33" s="12">
        <v>9</v>
      </c>
      <c r="Q33" s="12">
        <v>1</v>
      </c>
      <c r="R33" s="12">
        <v>9</v>
      </c>
      <c r="S33" s="12">
        <v>1</v>
      </c>
      <c r="T33" s="12">
        <v>16</v>
      </c>
      <c r="U33" s="12">
        <v>1</v>
      </c>
      <c r="V33" s="12">
        <v>14</v>
      </c>
      <c r="W33" s="12">
        <v>1</v>
      </c>
      <c r="X33" s="12">
        <v>12</v>
      </c>
      <c r="Y33" s="12"/>
      <c r="Z33" s="12"/>
      <c r="AA33" s="14">
        <f>+C33+E33+G33+I33+K33+M33+O33+Q33+U33+W33+Y33+S33</f>
        <v>11</v>
      </c>
      <c r="AB33" s="14">
        <f>+D33+F33+H33+L33+P33+N33+T33+R33+V33+Z33+X33+J33</f>
        <v>108</v>
      </c>
    </row>
    <row r="34" spans="2:28" ht="15">
      <c r="B34" s="9" t="s">
        <v>16</v>
      </c>
      <c r="C34" s="13">
        <f t="shared" ref="C34:P34" si="7">SUM(C33)</f>
        <v>1</v>
      </c>
      <c r="D34" s="13">
        <f t="shared" si="7"/>
        <v>3</v>
      </c>
      <c r="E34" s="13">
        <f t="shared" si="7"/>
        <v>1</v>
      </c>
      <c r="F34" s="13">
        <f t="shared" si="7"/>
        <v>1</v>
      </c>
      <c r="G34" s="13">
        <f t="shared" si="7"/>
        <v>1</v>
      </c>
      <c r="H34" s="13">
        <f t="shared" si="7"/>
        <v>4</v>
      </c>
      <c r="I34" s="13">
        <f t="shared" si="7"/>
        <v>1</v>
      </c>
      <c r="J34" s="13">
        <f t="shared" si="7"/>
        <v>5</v>
      </c>
      <c r="K34" s="13">
        <f t="shared" si="7"/>
        <v>1</v>
      </c>
      <c r="L34" s="13">
        <f t="shared" si="7"/>
        <v>13</v>
      </c>
      <c r="M34" s="13">
        <f t="shared" si="7"/>
        <v>1</v>
      </c>
      <c r="N34" s="13">
        <f t="shared" si="7"/>
        <v>22</v>
      </c>
      <c r="O34" s="13">
        <f t="shared" si="7"/>
        <v>1</v>
      </c>
      <c r="P34" s="13">
        <f t="shared" si="7"/>
        <v>9</v>
      </c>
      <c r="Q34" s="13">
        <f t="shared" ref="Q34:V34" si="8">SUM(Q33)</f>
        <v>1</v>
      </c>
      <c r="R34" s="13">
        <f t="shared" si="8"/>
        <v>9</v>
      </c>
      <c r="S34" s="13">
        <f t="shared" si="8"/>
        <v>1</v>
      </c>
      <c r="T34" s="13">
        <f t="shared" si="8"/>
        <v>16</v>
      </c>
      <c r="U34" s="13">
        <f t="shared" si="8"/>
        <v>1</v>
      </c>
      <c r="V34" s="13">
        <f t="shared" si="8"/>
        <v>14</v>
      </c>
      <c r="W34" s="13">
        <f>SUM(W33)</f>
        <v>1</v>
      </c>
      <c r="X34" s="13">
        <f>SUM(X33)</f>
        <v>12</v>
      </c>
      <c r="Y34" s="13"/>
      <c r="Z34" s="13"/>
      <c r="AA34" s="13">
        <f>+C34+E34+G34+I34+K34+M34+O34+Q34+U34+W34+Y34+S34</f>
        <v>11</v>
      </c>
      <c r="AB34" s="13">
        <f>+D34+F34+H34+L34+P34+N34+T34+R34+V34+Z34+X34</f>
        <v>103</v>
      </c>
    </row>
    <row r="35" spans="2:28" ht="15">
      <c r="B35" s="7" t="s">
        <v>18</v>
      </c>
      <c r="C35" s="12"/>
      <c r="D35" s="12"/>
      <c r="E35" s="12">
        <v>1</v>
      </c>
      <c r="F35" s="12">
        <v>1</v>
      </c>
      <c r="G35" s="12"/>
      <c r="H35" s="12"/>
      <c r="I35" s="12">
        <v>22</v>
      </c>
      <c r="J35" s="12">
        <v>22</v>
      </c>
      <c r="K35" s="12">
        <v>1</v>
      </c>
      <c r="L35" s="12">
        <v>6</v>
      </c>
      <c r="M35" s="12">
        <v>4</v>
      </c>
      <c r="N35" s="12">
        <v>4</v>
      </c>
      <c r="O35" s="12">
        <v>2</v>
      </c>
      <c r="P35" s="12">
        <v>2</v>
      </c>
      <c r="Q35" s="12">
        <v>2</v>
      </c>
      <c r="R35" s="12">
        <v>8</v>
      </c>
      <c r="S35" s="12">
        <v>6</v>
      </c>
      <c r="T35" s="12">
        <v>6</v>
      </c>
      <c r="U35" s="12">
        <v>11</v>
      </c>
      <c r="V35" s="12">
        <v>11</v>
      </c>
      <c r="W35" s="12">
        <v>4</v>
      </c>
      <c r="X35" s="12">
        <v>4</v>
      </c>
      <c r="Y35" s="12"/>
      <c r="Z35" s="12"/>
      <c r="AA35" s="15">
        <f>+C35+E35+G35+I35++K35+M35+O35+S35+Q35+U35+W35+Y35</f>
        <v>53</v>
      </c>
      <c r="AB35" s="15">
        <f>+D35+F35+H35+J35+L35+N35+P35+R35+T35+V35+X35+Z35</f>
        <v>64</v>
      </c>
    </row>
    <row r="36" spans="2:28" ht="37.5" customHeight="1">
      <c r="B36" s="10" t="s">
        <v>16</v>
      </c>
      <c r="C36" s="13"/>
      <c r="D36" s="13"/>
      <c r="E36" s="13">
        <f>SUM(E35)</f>
        <v>1</v>
      </c>
      <c r="F36" s="13">
        <f>SUM(F35)</f>
        <v>1</v>
      </c>
      <c r="G36" s="13"/>
      <c r="H36" s="13"/>
      <c r="I36" s="13">
        <f t="shared" ref="I36:P36" si="9">SUM(I35)</f>
        <v>22</v>
      </c>
      <c r="J36" s="13">
        <f t="shared" si="9"/>
        <v>22</v>
      </c>
      <c r="K36" s="13">
        <f t="shared" si="9"/>
        <v>1</v>
      </c>
      <c r="L36" s="13">
        <f t="shared" si="9"/>
        <v>6</v>
      </c>
      <c r="M36" s="13">
        <f t="shared" si="9"/>
        <v>4</v>
      </c>
      <c r="N36" s="13">
        <f t="shared" si="9"/>
        <v>4</v>
      </c>
      <c r="O36" s="13">
        <f t="shared" si="9"/>
        <v>2</v>
      </c>
      <c r="P36" s="13">
        <f t="shared" si="9"/>
        <v>2</v>
      </c>
      <c r="Q36" s="13">
        <f t="shared" ref="Q36:V36" si="10">SUM(Q35)</f>
        <v>2</v>
      </c>
      <c r="R36" s="13">
        <f t="shared" si="10"/>
        <v>8</v>
      </c>
      <c r="S36" s="13">
        <f t="shared" si="10"/>
        <v>6</v>
      </c>
      <c r="T36" s="13">
        <f t="shared" si="10"/>
        <v>6</v>
      </c>
      <c r="U36" s="13">
        <f t="shared" si="10"/>
        <v>11</v>
      </c>
      <c r="V36" s="13">
        <f t="shared" si="10"/>
        <v>11</v>
      </c>
      <c r="W36" s="13">
        <f>SUM(W35)</f>
        <v>4</v>
      </c>
      <c r="X36" s="13">
        <f>SUM(X35)</f>
        <v>4</v>
      </c>
      <c r="Y36" s="13"/>
      <c r="Z36" s="13"/>
      <c r="AA36" s="16">
        <f>+C36+E36+G36+I36++K36+M36+O36+S36+Q36+U36+W36+Y36</f>
        <v>53</v>
      </c>
      <c r="AB36" s="16">
        <f>+D36+F36+H36+J36+L36+N36+P36+R36+T36+V36+X36+Z36</f>
        <v>64</v>
      </c>
    </row>
    <row r="37" spans="2:28" ht="15">
      <c r="B37" s="21" t="s">
        <v>19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2">
        <f>+C37+E37+G37+I37+M37+Q37+O37+S37+U37+W37+Y37</f>
        <v>0</v>
      </c>
      <c r="AB37" s="12">
        <f>+D37+F37+H37+J37+L37+N37+P37+R37+T37+V37+X37+Z37</f>
        <v>0</v>
      </c>
    </row>
    <row r="38" spans="2:28" ht="15">
      <c r="B38" s="22" t="s">
        <v>20</v>
      </c>
      <c r="C38" s="14"/>
      <c r="D38" s="14"/>
      <c r="E38" s="14"/>
      <c r="F38" s="14"/>
      <c r="G38" s="14">
        <v>1</v>
      </c>
      <c r="H38" s="14">
        <v>1</v>
      </c>
      <c r="I38" s="14"/>
      <c r="J38" s="14"/>
      <c r="K38" s="14"/>
      <c r="L38" s="14"/>
      <c r="M38" s="14">
        <v>2</v>
      </c>
      <c r="N38" s="14">
        <v>2</v>
      </c>
      <c r="O38" s="14">
        <v>1</v>
      </c>
      <c r="P38" s="14">
        <v>1</v>
      </c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2">
        <f t="shared" ref="AA38:AA39" si="11">+C38+E38+G38+I38+M38+Q38+O38+S38+U38+W38+Y38</f>
        <v>4</v>
      </c>
      <c r="AB38" s="12">
        <f t="shared" ref="AB38:AB39" si="12">+D38+F38+H38+J38+L38+N38+P38+R38+T38+V38+X38+Z38</f>
        <v>4</v>
      </c>
    </row>
    <row r="39" spans="2:28" ht="15">
      <c r="B39" s="10" t="s">
        <v>16</v>
      </c>
      <c r="C39" s="13"/>
      <c r="D39" s="13"/>
      <c r="E39" s="13"/>
      <c r="F39" s="13"/>
      <c r="G39" s="13">
        <f>SUM(G38)</f>
        <v>1</v>
      </c>
      <c r="H39" s="13">
        <f>SUM(H38)</f>
        <v>1</v>
      </c>
      <c r="I39" s="13"/>
      <c r="J39" s="13"/>
      <c r="K39" s="13"/>
      <c r="L39" s="13"/>
      <c r="M39" s="13">
        <f>SUM(M38)</f>
        <v>2</v>
      </c>
      <c r="N39" s="13">
        <f>SUM(N38)</f>
        <v>2</v>
      </c>
      <c r="O39" s="13">
        <f>SUM(O38)</f>
        <v>1</v>
      </c>
      <c r="P39" s="13">
        <f>SUM(P38)</f>
        <v>1</v>
      </c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>
        <f t="shared" si="11"/>
        <v>4</v>
      </c>
      <c r="AB39" s="13">
        <f t="shared" si="12"/>
        <v>4</v>
      </c>
    </row>
    <row r="40" spans="2:28" ht="18" customHeight="1">
      <c r="B40" s="77"/>
      <c r="C40" s="77"/>
      <c r="D40" s="77"/>
    </row>
    <row r="41" spans="2:28" ht="15.75" customHeight="1"/>
    <row r="42" spans="2:28" ht="18" customHeight="1">
      <c r="B42" s="77"/>
      <c r="C42" s="77"/>
      <c r="D42" s="77"/>
    </row>
    <row r="43" spans="2:28" ht="15.75" customHeight="1"/>
    <row r="44" spans="2:28" ht="18" customHeight="1">
      <c r="B44" s="77"/>
      <c r="C44" s="77"/>
      <c r="D44" s="77"/>
    </row>
    <row r="45" spans="2:28" ht="15.75" customHeight="1">
      <c r="B45" s="86" t="s">
        <v>30</v>
      </c>
      <c r="C45" s="76" t="s">
        <v>47</v>
      </c>
      <c r="D45" s="76"/>
      <c r="E45" s="76" t="s">
        <v>35</v>
      </c>
      <c r="F45" s="76"/>
      <c r="G45" s="76" t="s">
        <v>24</v>
      </c>
      <c r="H45" s="76"/>
      <c r="I45" s="76" t="s">
        <v>36</v>
      </c>
      <c r="J45" s="76"/>
      <c r="K45" s="76" t="s">
        <v>26</v>
      </c>
      <c r="L45" s="76"/>
      <c r="M45" s="76" t="s">
        <v>27</v>
      </c>
      <c r="N45" s="76"/>
      <c r="O45" s="76" t="s">
        <v>48</v>
      </c>
      <c r="P45" s="76"/>
      <c r="Q45" s="76" t="s">
        <v>37</v>
      </c>
      <c r="R45" s="76"/>
      <c r="S45" s="76" t="s">
        <v>1</v>
      </c>
      <c r="T45" s="76"/>
      <c r="U45" s="76" t="s">
        <v>2</v>
      </c>
      <c r="V45" s="76"/>
      <c r="W45" s="76" t="s">
        <v>3</v>
      </c>
      <c r="X45" s="76"/>
      <c r="Y45" s="76" t="s">
        <v>4</v>
      </c>
      <c r="Z45" s="76"/>
      <c r="AA45" s="81" t="s">
        <v>5</v>
      </c>
      <c r="AB45" s="82"/>
    </row>
    <row r="46" spans="2:28" s="2" customFormat="1" ht="31.5">
      <c r="B46" s="79"/>
      <c r="C46" s="18" t="s">
        <v>6</v>
      </c>
      <c r="D46" s="18" t="s">
        <v>7</v>
      </c>
      <c r="E46" s="18" t="s">
        <v>6</v>
      </c>
      <c r="F46" s="18" t="s">
        <v>7</v>
      </c>
      <c r="G46" s="18" t="s">
        <v>6</v>
      </c>
      <c r="H46" s="18" t="s">
        <v>7</v>
      </c>
      <c r="I46" s="18" t="s">
        <v>6</v>
      </c>
      <c r="J46" s="18" t="s">
        <v>7</v>
      </c>
      <c r="K46" s="18" t="s">
        <v>6</v>
      </c>
      <c r="L46" s="18" t="s">
        <v>7</v>
      </c>
      <c r="M46" s="18" t="s">
        <v>6</v>
      </c>
      <c r="N46" s="18" t="s">
        <v>7</v>
      </c>
      <c r="O46" s="18" t="s">
        <v>6</v>
      </c>
      <c r="P46" s="18" t="s">
        <v>7</v>
      </c>
      <c r="Q46" s="18" t="s">
        <v>6</v>
      </c>
      <c r="R46" s="18" t="s">
        <v>7</v>
      </c>
      <c r="S46" s="18" t="s">
        <v>6</v>
      </c>
      <c r="T46" s="18" t="s">
        <v>7</v>
      </c>
      <c r="U46" s="18" t="s">
        <v>6</v>
      </c>
      <c r="V46" s="18" t="s">
        <v>7</v>
      </c>
      <c r="W46" s="18" t="s">
        <v>6</v>
      </c>
      <c r="X46" s="18" t="s">
        <v>7</v>
      </c>
      <c r="Y46" s="18" t="s">
        <v>6</v>
      </c>
      <c r="Z46" s="18" t="s">
        <v>7</v>
      </c>
      <c r="AA46" s="19" t="s">
        <v>6</v>
      </c>
      <c r="AB46" s="19" t="s">
        <v>7</v>
      </c>
    </row>
    <row r="47" spans="2:28" ht="20.25" customHeight="1">
      <c r="B47" s="3" t="s">
        <v>8</v>
      </c>
      <c r="C47" s="12">
        <v>28</v>
      </c>
      <c r="D47" s="12">
        <v>28</v>
      </c>
      <c r="E47" s="12">
        <v>12</v>
      </c>
      <c r="F47" s="12">
        <v>12</v>
      </c>
      <c r="G47" s="12"/>
      <c r="H47" s="12"/>
      <c r="I47" s="12">
        <v>10</v>
      </c>
      <c r="J47" s="12">
        <v>10</v>
      </c>
      <c r="K47" s="12">
        <v>18</v>
      </c>
      <c r="L47" s="12">
        <v>18</v>
      </c>
      <c r="M47" s="12">
        <v>14</v>
      </c>
      <c r="N47" s="12">
        <v>14</v>
      </c>
      <c r="O47" s="12"/>
      <c r="P47" s="12"/>
      <c r="Q47" s="12"/>
      <c r="R47" s="12"/>
      <c r="S47" s="12">
        <v>16</v>
      </c>
      <c r="T47" s="12">
        <v>16</v>
      </c>
      <c r="U47" s="12">
        <v>18</v>
      </c>
      <c r="V47" s="12">
        <v>18</v>
      </c>
      <c r="W47" s="12">
        <v>21</v>
      </c>
      <c r="X47" s="12">
        <v>21</v>
      </c>
      <c r="Y47" s="12">
        <v>5</v>
      </c>
      <c r="Z47" s="12">
        <v>5</v>
      </c>
      <c r="AA47" s="14">
        <f>+C47+E47+G47+I47+K47+M47+O47+Q47+S4+S47+U47+W47+Y47</f>
        <v>142</v>
      </c>
      <c r="AB47" s="14">
        <f>+D47+F47+H47+J47+L47+N47+P47+R47+T47+V47+X47+Z47</f>
        <v>142</v>
      </c>
    </row>
    <row r="48" spans="2:28" ht="20.25" customHeight="1">
      <c r="B48" s="4" t="s">
        <v>9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4">
        <f t="shared" ref="AA48:AA55" si="13">+C48+E48+G48+I48+K48+M48+O48+Q48+S5+S48+U48+W48+Y48</f>
        <v>0</v>
      </c>
      <c r="AB48" s="14">
        <f t="shared" ref="AB48:AB55" si="14">+D48+F48+H48+J48+L48+N48+P48+R48+T48+V48+X48+Z48</f>
        <v>0</v>
      </c>
    </row>
    <row r="49" spans="2:28" ht="20.25" customHeight="1">
      <c r="B49" s="4" t="s">
        <v>10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4">
        <f t="shared" si="13"/>
        <v>0</v>
      </c>
      <c r="AB49" s="14">
        <f t="shared" si="14"/>
        <v>0</v>
      </c>
    </row>
    <row r="50" spans="2:28" ht="20.25" customHeight="1">
      <c r="B50" s="4" t="s">
        <v>11</v>
      </c>
      <c r="C50" s="12">
        <v>29</v>
      </c>
      <c r="D50" s="12">
        <v>29</v>
      </c>
      <c r="E50" s="12">
        <v>31</v>
      </c>
      <c r="F50" s="12">
        <v>17</v>
      </c>
      <c r="G50" s="12"/>
      <c r="H50" s="12"/>
      <c r="I50" s="12">
        <v>27</v>
      </c>
      <c r="J50" s="12">
        <v>27</v>
      </c>
      <c r="K50" s="12">
        <v>33</v>
      </c>
      <c r="L50" s="12">
        <v>33</v>
      </c>
      <c r="M50" s="12">
        <v>54</v>
      </c>
      <c r="N50" s="12">
        <v>53</v>
      </c>
      <c r="O50" s="12"/>
      <c r="P50" s="12"/>
      <c r="Q50" s="12"/>
      <c r="R50" s="12"/>
      <c r="S50" s="12">
        <v>40</v>
      </c>
      <c r="T50" s="12">
        <v>38</v>
      </c>
      <c r="U50" s="12">
        <v>29</v>
      </c>
      <c r="V50" s="12">
        <v>29</v>
      </c>
      <c r="W50" s="12">
        <v>43</v>
      </c>
      <c r="X50" s="12">
        <v>41</v>
      </c>
      <c r="Y50" s="12">
        <v>14</v>
      </c>
      <c r="Z50" s="12">
        <v>14</v>
      </c>
      <c r="AA50" s="14">
        <f t="shared" si="13"/>
        <v>300</v>
      </c>
      <c r="AB50" s="14">
        <f t="shared" si="14"/>
        <v>281</v>
      </c>
    </row>
    <row r="51" spans="2:28" ht="15">
      <c r="B51" s="4" t="s">
        <v>12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4">
        <f t="shared" si="13"/>
        <v>0</v>
      </c>
      <c r="AB51" s="14">
        <f t="shared" si="14"/>
        <v>0</v>
      </c>
    </row>
    <row r="52" spans="2:28" ht="20.25" customHeight="1">
      <c r="B52" s="4" t="s">
        <v>13</v>
      </c>
      <c r="C52" s="12">
        <v>175</v>
      </c>
      <c r="D52" s="12">
        <v>43</v>
      </c>
      <c r="E52" s="12">
        <v>139</v>
      </c>
      <c r="F52" s="12">
        <v>38</v>
      </c>
      <c r="G52" s="12"/>
      <c r="H52" s="12"/>
      <c r="I52" s="12">
        <v>129</v>
      </c>
      <c r="J52" s="12">
        <v>129</v>
      </c>
      <c r="K52" s="12">
        <v>140</v>
      </c>
      <c r="L52" s="12">
        <v>45</v>
      </c>
      <c r="M52" s="12">
        <v>151</v>
      </c>
      <c r="N52" s="12">
        <v>37</v>
      </c>
      <c r="O52" s="12"/>
      <c r="P52" s="12"/>
      <c r="Q52" s="12"/>
      <c r="R52" s="12"/>
      <c r="S52" s="12">
        <v>141</v>
      </c>
      <c r="T52" s="12">
        <v>38</v>
      </c>
      <c r="U52" s="12">
        <v>155</v>
      </c>
      <c r="V52" s="12">
        <v>42</v>
      </c>
      <c r="W52" s="12">
        <v>201</v>
      </c>
      <c r="X52" s="12">
        <v>48</v>
      </c>
      <c r="Y52" s="12">
        <v>81</v>
      </c>
      <c r="Z52" s="12">
        <v>36</v>
      </c>
      <c r="AA52" s="14">
        <f t="shared" si="13"/>
        <v>1312</v>
      </c>
      <c r="AB52" s="14">
        <f t="shared" si="14"/>
        <v>456</v>
      </c>
    </row>
    <row r="53" spans="2:28" ht="20.25" customHeight="1">
      <c r="B53" s="4" t="s">
        <v>14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4">
        <f t="shared" si="13"/>
        <v>0</v>
      </c>
      <c r="AB53" s="14">
        <f t="shared" si="14"/>
        <v>0</v>
      </c>
    </row>
    <row r="54" spans="2:28" ht="15">
      <c r="B54" s="5" t="s">
        <v>15</v>
      </c>
      <c r="C54" s="12">
        <v>142</v>
      </c>
      <c r="D54" s="12">
        <v>27</v>
      </c>
      <c r="E54" s="12">
        <v>132</v>
      </c>
      <c r="F54" s="12">
        <v>19</v>
      </c>
      <c r="G54" s="12"/>
      <c r="H54" s="12"/>
      <c r="I54" s="12">
        <v>45</v>
      </c>
      <c r="J54" s="12">
        <v>15</v>
      </c>
      <c r="K54" s="12">
        <v>198</v>
      </c>
      <c r="L54" s="12">
        <v>20</v>
      </c>
      <c r="M54" s="12">
        <v>219</v>
      </c>
      <c r="N54" s="12">
        <v>20</v>
      </c>
      <c r="O54" s="12"/>
      <c r="P54" s="12"/>
      <c r="Q54" s="12"/>
      <c r="R54" s="12"/>
      <c r="S54" s="12">
        <v>318</v>
      </c>
      <c r="T54" s="12">
        <v>20</v>
      </c>
      <c r="U54" s="12">
        <v>301</v>
      </c>
      <c r="V54" s="12">
        <v>25</v>
      </c>
      <c r="W54" s="12">
        <v>380</v>
      </c>
      <c r="X54" s="12">
        <v>25</v>
      </c>
      <c r="Y54" s="12">
        <v>238</v>
      </c>
      <c r="Z54" s="12">
        <v>22</v>
      </c>
      <c r="AA54" s="14">
        <f t="shared" si="13"/>
        <v>1973</v>
      </c>
      <c r="AB54" s="14">
        <f t="shared" si="14"/>
        <v>193</v>
      </c>
    </row>
    <row r="55" spans="2:28" ht="15">
      <c r="B55" s="8" t="s">
        <v>16</v>
      </c>
      <c r="C55" s="13">
        <f>SUM(C47:C54)</f>
        <v>374</v>
      </c>
      <c r="D55" s="13">
        <f>SUM(D47:D54)</f>
        <v>127</v>
      </c>
      <c r="E55" s="13">
        <f>SUM(E47:E54)</f>
        <v>314</v>
      </c>
      <c r="F55" s="13">
        <f>SUM(F47:F54)</f>
        <v>86</v>
      </c>
      <c r="G55" s="13"/>
      <c r="H55" s="13"/>
      <c r="I55" s="13">
        <f t="shared" ref="I55:N55" si="15">SUM(I47:I54)</f>
        <v>211</v>
      </c>
      <c r="J55" s="13">
        <f t="shared" si="15"/>
        <v>181</v>
      </c>
      <c r="K55" s="13">
        <f t="shared" si="15"/>
        <v>389</v>
      </c>
      <c r="L55" s="13">
        <f t="shared" si="15"/>
        <v>116</v>
      </c>
      <c r="M55" s="13">
        <f t="shared" si="15"/>
        <v>438</v>
      </c>
      <c r="N55" s="13">
        <f t="shared" si="15"/>
        <v>124</v>
      </c>
      <c r="O55" s="13"/>
      <c r="P55" s="13"/>
      <c r="Q55" s="13"/>
      <c r="R55" s="13"/>
      <c r="S55" s="13">
        <f t="shared" ref="S55:Z55" si="16">SUM(S47:S54)</f>
        <v>515</v>
      </c>
      <c r="T55" s="13">
        <f t="shared" si="16"/>
        <v>112</v>
      </c>
      <c r="U55" s="13">
        <f t="shared" si="16"/>
        <v>503</v>
      </c>
      <c r="V55" s="13">
        <f t="shared" si="16"/>
        <v>114</v>
      </c>
      <c r="W55" s="13">
        <f t="shared" si="16"/>
        <v>645</v>
      </c>
      <c r="X55" s="13">
        <f t="shared" si="16"/>
        <v>135</v>
      </c>
      <c r="Y55" s="13">
        <f t="shared" si="16"/>
        <v>338</v>
      </c>
      <c r="Z55" s="13">
        <f t="shared" si="16"/>
        <v>77</v>
      </c>
      <c r="AA55" s="13">
        <f t="shared" si="13"/>
        <v>3727</v>
      </c>
      <c r="AB55" s="13">
        <f t="shared" si="14"/>
        <v>1072</v>
      </c>
    </row>
    <row r="56" spans="2:28" ht="15">
      <c r="B56" s="6" t="s">
        <v>17</v>
      </c>
      <c r="C56" s="12">
        <v>1</v>
      </c>
      <c r="D56" s="12">
        <v>18</v>
      </c>
      <c r="E56" s="12">
        <v>1</v>
      </c>
      <c r="F56" s="12">
        <v>12</v>
      </c>
      <c r="G56" s="12"/>
      <c r="H56" s="12"/>
      <c r="I56" s="12">
        <v>1</v>
      </c>
      <c r="J56" s="12">
        <v>10</v>
      </c>
      <c r="K56" s="12">
        <v>1</v>
      </c>
      <c r="L56" s="12">
        <v>13</v>
      </c>
      <c r="M56" s="12">
        <v>1</v>
      </c>
      <c r="N56" s="12">
        <v>15</v>
      </c>
      <c r="O56" s="12"/>
      <c r="P56" s="12"/>
      <c r="Q56" s="12"/>
      <c r="R56" s="12"/>
      <c r="S56" s="12">
        <v>1</v>
      </c>
      <c r="T56" s="12">
        <v>13</v>
      </c>
      <c r="U56" s="12">
        <v>1</v>
      </c>
      <c r="V56" s="12">
        <v>15</v>
      </c>
      <c r="W56" s="12">
        <v>1</v>
      </c>
      <c r="X56" s="12">
        <v>20</v>
      </c>
      <c r="Y56" s="12">
        <v>1</v>
      </c>
      <c r="Z56" s="12">
        <v>4</v>
      </c>
      <c r="AA56" s="14">
        <f>+C56+E56+G56+I56+K56+M56+O56+Q56+S56+U56+W56+Y56</f>
        <v>9</v>
      </c>
      <c r="AB56" s="14">
        <f>+D56+F56+H56+J56+L56+N56+P56+R56+T56+V56+X56+Z56</f>
        <v>120</v>
      </c>
    </row>
    <row r="57" spans="2:28" ht="15">
      <c r="B57" s="9" t="s">
        <v>16</v>
      </c>
      <c r="C57" s="13">
        <f>SUM(C56)</f>
        <v>1</v>
      </c>
      <c r="D57" s="13">
        <f>SUM(D56)</f>
        <v>18</v>
      </c>
      <c r="E57" s="13">
        <f>SUM(E56)</f>
        <v>1</v>
      </c>
      <c r="F57" s="13">
        <f>SUM(F56)</f>
        <v>12</v>
      </c>
      <c r="G57" s="13"/>
      <c r="H57" s="13"/>
      <c r="I57" s="13">
        <f t="shared" ref="I57:N57" si="17">SUM(I56)</f>
        <v>1</v>
      </c>
      <c r="J57" s="13">
        <f t="shared" si="17"/>
        <v>10</v>
      </c>
      <c r="K57" s="13">
        <f t="shared" si="17"/>
        <v>1</v>
      </c>
      <c r="L57" s="13">
        <f t="shared" si="17"/>
        <v>13</v>
      </c>
      <c r="M57" s="13">
        <f t="shared" si="17"/>
        <v>1</v>
      </c>
      <c r="N57" s="13">
        <f t="shared" si="17"/>
        <v>15</v>
      </c>
      <c r="O57" s="13"/>
      <c r="P57" s="13"/>
      <c r="Q57" s="13"/>
      <c r="R57" s="13"/>
      <c r="S57" s="13">
        <f t="shared" ref="S57:Z57" si="18">SUM(S56)</f>
        <v>1</v>
      </c>
      <c r="T57" s="13">
        <f t="shared" si="18"/>
        <v>13</v>
      </c>
      <c r="U57" s="13">
        <f t="shared" si="18"/>
        <v>1</v>
      </c>
      <c r="V57" s="13">
        <f t="shared" si="18"/>
        <v>15</v>
      </c>
      <c r="W57" s="13">
        <f t="shared" si="18"/>
        <v>1</v>
      </c>
      <c r="X57" s="13">
        <f t="shared" si="18"/>
        <v>20</v>
      </c>
      <c r="Y57" s="13">
        <f t="shared" si="18"/>
        <v>1</v>
      </c>
      <c r="Z57" s="13">
        <f t="shared" si="18"/>
        <v>4</v>
      </c>
      <c r="AA57" s="13">
        <f>+C57+E57+G57+I57+K57+M57+O57+Q57+S57+U57+W57+Y57</f>
        <v>9</v>
      </c>
      <c r="AB57" s="13">
        <f>+D57+F57+H57+J57+L57+N57+P57+R57+T57+V57+X57+Z57</f>
        <v>120</v>
      </c>
    </row>
    <row r="58" spans="2:28" ht="15">
      <c r="B58" s="7" t="s">
        <v>18</v>
      </c>
      <c r="C58" s="12">
        <v>7</v>
      </c>
      <c r="D58" s="12">
        <v>7</v>
      </c>
      <c r="E58" s="12">
        <v>5</v>
      </c>
      <c r="F58" s="12">
        <v>5</v>
      </c>
      <c r="G58" s="12"/>
      <c r="H58" s="12"/>
      <c r="I58" s="12">
        <v>4</v>
      </c>
      <c r="J58" s="12">
        <v>1</v>
      </c>
      <c r="K58" s="12">
        <v>3</v>
      </c>
      <c r="L58" s="12">
        <v>3</v>
      </c>
      <c r="M58" s="12">
        <v>5</v>
      </c>
      <c r="N58" s="12">
        <v>5</v>
      </c>
      <c r="O58" s="12"/>
      <c r="P58" s="12"/>
      <c r="Q58" s="12"/>
      <c r="R58" s="12"/>
      <c r="S58" s="12">
        <v>1</v>
      </c>
      <c r="T58" s="12">
        <v>1</v>
      </c>
      <c r="U58" s="12">
        <v>3</v>
      </c>
      <c r="V58" s="12">
        <v>3</v>
      </c>
      <c r="W58" s="12"/>
      <c r="X58" s="12"/>
      <c r="Y58" s="12">
        <v>1</v>
      </c>
      <c r="Z58" s="12">
        <v>1</v>
      </c>
      <c r="AA58" s="15">
        <f>+C58+E58+G58+I58+M58+O58+Q58+S58+U58+W58+Y58</f>
        <v>26</v>
      </c>
      <c r="AB58" s="15">
        <f>+D58+F58+H58+J58+L58+N58+P58+R58+T58+V58+X58+Z58</f>
        <v>26</v>
      </c>
    </row>
    <row r="59" spans="2:28" ht="37.5" customHeight="1">
      <c r="B59" s="10" t="s">
        <v>16</v>
      </c>
      <c r="C59" s="13">
        <f>SUM(C58)</f>
        <v>7</v>
      </c>
      <c r="D59" s="13">
        <f>SUM(D58)</f>
        <v>7</v>
      </c>
      <c r="E59" s="13">
        <f>SUM(E58)</f>
        <v>5</v>
      </c>
      <c r="F59" s="13">
        <f>SUM(F58)</f>
        <v>5</v>
      </c>
      <c r="G59" s="13"/>
      <c r="H59" s="13"/>
      <c r="I59" s="13">
        <f t="shared" ref="I59:N59" si="19">SUM(I58)</f>
        <v>4</v>
      </c>
      <c r="J59" s="13">
        <f t="shared" si="19"/>
        <v>1</v>
      </c>
      <c r="K59" s="13">
        <f t="shared" si="19"/>
        <v>3</v>
      </c>
      <c r="L59" s="13">
        <f t="shared" si="19"/>
        <v>3</v>
      </c>
      <c r="M59" s="13">
        <f t="shared" si="19"/>
        <v>5</v>
      </c>
      <c r="N59" s="13">
        <f t="shared" si="19"/>
        <v>5</v>
      </c>
      <c r="O59" s="13"/>
      <c r="P59" s="13"/>
      <c r="Q59" s="13"/>
      <c r="R59" s="13"/>
      <c r="S59" s="13">
        <f>SUM(S58)</f>
        <v>1</v>
      </c>
      <c r="T59" s="13">
        <f>SUM(T58)</f>
        <v>1</v>
      </c>
      <c r="U59" s="13">
        <f>SUM(U58)</f>
        <v>3</v>
      </c>
      <c r="V59" s="13">
        <f>SUM(V58)</f>
        <v>3</v>
      </c>
      <c r="W59" s="13"/>
      <c r="X59" s="13"/>
      <c r="Y59" s="13">
        <f>SUM(Y58)</f>
        <v>1</v>
      </c>
      <c r="Z59" s="13">
        <f>SUM(Z58)</f>
        <v>1</v>
      </c>
      <c r="AA59" s="16">
        <f>SUM(AA58)</f>
        <v>26</v>
      </c>
      <c r="AB59" s="16">
        <f>SUM(AB58)</f>
        <v>26</v>
      </c>
    </row>
    <row r="60" spans="2:28" ht="15">
      <c r="B60" s="21" t="s">
        <v>19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2">
        <f>+C60+E60+G60+I60+K60+M60+O60+Q60+S60+U60+W60+Y60</f>
        <v>0</v>
      </c>
      <c r="AB60" s="12">
        <f>+D60+F60+H60+J60+L60+N60+P60+R60+V60+T60+X60+Z60</f>
        <v>0</v>
      </c>
    </row>
    <row r="61" spans="2:28" ht="15">
      <c r="B61" s="22" t="s">
        <v>20</v>
      </c>
      <c r="C61" s="14"/>
      <c r="D61" s="14"/>
      <c r="E61" s="14"/>
      <c r="F61" s="14"/>
      <c r="G61" s="14"/>
      <c r="H61" s="14"/>
      <c r="I61" s="14">
        <v>1</v>
      </c>
      <c r="J61" s="14">
        <v>1</v>
      </c>
      <c r="K61" s="14"/>
      <c r="L61" s="14"/>
      <c r="M61" s="14">
        <v>1</v>
      </c>
      <c r="N61" s="14">
        <v>1</v>
      </c>
      <c r="O61" s="14"/>
      <c r="P61" s="14"/>
      <c r="Q61" s="14"/>
      <c r="R61" s="14"/>
      <c r="S61" s="14"/>
      <c r="T61" s="14"/>
      <c r="U61" s="14">
        <v>1</v>
      </c>
      <c r="V61" s="14">
        <v>1</v>
      </c>
      <c r="W61" s="14">
        <v>2</v>
      </c>
      <c r="X61" s="14">
        <v>2</v>
      </c>
      <c r="Y61" s="14"/>
      <c r="Z61" s="14"/>
      <c r="AA61" s="12">
        <f t="shared" ref="AA61:AA63" si="20">+C61+E61+G61+I61+K61+M61+O61+Q61+S61+U61+W61+Y61</f>
        <v>5</v>
      </c>
      <c r="AB61" s="12">
        <f t="shared" ref="AB61:AB63" si="21">+D61+F61+H61+J61+L61+N61+P61+R61+V61+T61+X61+Z61</f>
        <v>5</v>
      </c>
    </row>
    <row r="62" spans="2:28" ht="15">
      <c r="B62" s="49" t="s">
        <v>31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>
        <v>27</v>
      </c>
      <c r="N62" s="14">
        <v>27</v>
      </c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2">
        <f t="shared" si="20"/>
        <v>27</v>
      </c>
      <c r="AB62" s="12">
        <f t="shared" si="21"/>
        <v>27</v>
      </c>
    </row>
    <row r="63" spans="2:28" ht="15">
      <c r="B63" s="10" t="s">
        <v>16</v>
      </c>
      <c r="C63" s="13"/>
      <c r="D63" s="13"/>
      <c r="E63" s="13"/>
      <c r="F63" s="13"/>
      <c r="G63" s="13"/>
      <c r="H63" s="13"/>
      <c r="I63" s="13">
        <f>SUM(I61)</f>
        <v>1</v>
      </c>
      <c r="J63" s="13">
        <f>SUM(J61)</f>
        <v>1</v>
      </c>
      <c r="K63" s="13"/>
      <c r="L63" s="13"/>
      <c r="M63" s="13">
        <f>SUM(M61:M62)</f>
        <v>28</v>
      </c>
      <c r="N63" s="13">
        <f>SUM(N61:N62)</f>
        <v>28</v>
      </c>
      <c r="O63" s="13"/>
      <c r="P63" s="13"/>
      <c r="Q63" s="13"/>
      <c r="R63" s="13"/>
      <c r="S63" s="13"/>
      <c r="T63" s="13"/>
      <c r="U63" s="13">
        <f>SUM(U61:U62)</f>
        <v>1</v>
      </c>
      <c r="V63" s="13">
        <f>SUM(V61:V62)</f>
        <v>1</v>
      </c>
      <c r="W63" s="13">
        <f>SUM(W61:W62)</f>
        <v>2</v>
      </c>
      <c r="X63" s="13">
        <f>SUM(X61:X62)</f>
        <v>2</v>
      </c>
      <c r="Y63" s="13"/>
      <c r="Z63" s="13"/>
      <c r="AA63" s="13">
        <f t="shared" si="20"/>
        <v>32</v>
      </c>
      <c r="AB63" s="13">
        <f t="shared" si="21"/>
        <v>32</v>
      </c>
    </row>
    <row r="64" spans="2:28" ht="15">
      <c r="B64" s="20"/>
    </row>
    <row r="65" spans="2:28" ht="15.75" customHeight="1">
      <c r="B65" s="86" t="s">
        <v>32</v>
      </c>
      <c r="C65" s="76" t="s">
        <v>47</v>
      </c>
      <c r="D65" s="76"/>
      <c r="E65" s="76" t="s">
        <v>35</v>
      </c>
      <c r="F65" s="76"/>
      <c r="G65" s="76" t="s">
        <v>24</v>
      </c>
      <c r="H65" s="76"/>
      <c r="I65" s="76" t="s">
        <v>36</v>
      </c>
      <c r="J65" s="76"/>
      <c r="K65" s="76" t="s">
        <v>26</v>
      </c>
      <c r="L65" s="76"/>
      <c r="M65" s="76" t="s">
        <v>27</v>
      </c>
      <c r="N65" s="76"/>
      <c r="O65" s="76" t="s">
        <v>48</v>
      </c>
      <c r="P65" s="76"/>
      <c r="Q65" s="76" t="s">
        <v>37</v>
      </c>
      <c r="R65" s="76"/>
      <c r="S65" s="76" t="s">
        <v>1</v>
      </c>
      <c r="T65" s="76"/>
      <c r="U65" s="76" t="s">
        <v>2</v>
      </c>
      <c r="V65" s="76"/>
      <c r="W65" s="76" t="s">
        <v>3</v>
      </c>
      <c r="X65" s="76"/>
      <c r="Y65" s="76" t="s">
        <v>4</v>
      </c>
      <c r="Z65" s="76"/>
      <c r="AA65" s="81" t="s">
        <v>5</v>
      </c>
      <c r="AB65" s="82"/>
    </row>
    <row r="66" spans="2:28" s="2" customFormat="1" ht="31.5">
      <c r="B66" s="79"/>
      <c r="C66" s="18" t="s">
        <v>6</v>
      </c>
      <c r="D66" s="18" t="s">
        <v>7</v>
      </c>
      <c r="E66" s="18" t="s">
        <v>6</v>
      </c>
      <c r="F66" s="18" t="s">
        <v>7</v>
      </c>
      <c r="G66" s="18" t="s">
        <v>6</v>
      </c>
      <c r="H66" s="18" t="s">
        <v>7</v>
      </c>
      <c r="I66" s="18" t="s">
        <v>6</v>
      </c>
      <c r="J66" s="18" t="s">
        <v>7</v>
      </c>
      <c r="K66" s="18" t="s">
        <v>6</v>
      </c>
      <c r="L66" s="18" t="s">
        <v>7</v>
      </c>
      <c r="M66" s="18" t="s">
        <v>6</v>
      </c>
      <c r="N66" s="18" t="s">
        <v>7</v>
      </c>
      <c r="O66" s="18" t="s">
        <v>6</v>
      </c>
      <c r="P66" s="18" t="s">
        <v>7</v>
      </c>
      <c r="Q66" s="18" t="s">
        <v>6</v>
      </c>
      <c r="R66" s="18" t="s">
        <v>7</v>
      </c>
      <c r="S66" s="18" t="s">
        <v>6</v>
      </c>
      <c r="T66" s="18" t="s">
        <v>7</v>
      </c>
      <c r="U66" s="18" t="s">
        <v>6</v>
      </c>
      <c r="V66" s="18" t="s">
        <v>7</v>
      </c>
      <c r="W66" s="18" t="s">
        <v>6</v>
      </c>
      <c r="X66" s="18" t="s">
        <v>7</v>
      </c>
      <c r="Y66" s="18" t="s">
        <v>6</v>
      </c>
      <c r="Z66" s="18" t="s">
        <v>7</v>
      </c>
      <c r="AA66" s="19" t="s">
        <v>6</v>
      </c>
      <c r="AB66" s="19" t="s">
        <v>7</v>
      </c>
    </row>
    <row r="67" spans="2:28" ht="20.25" customHeight="1">
      <c r="B67" s="3" t="s">
        <v>8</v>
      </c>
      <c r="C67" s="12">
        <v>17</v>
      </c>
      <c r="D67" s="12">
        <v>17</v>
      </c>
      <c r="E67" s="12">
        <v>20</v>
      </c>
      <c r="F67" s="12">
        <v>20</v>
      </c>
      <c r="G67" s="12">
        <v>9</v>
      </c>
      <c r="H67" s="12">
        <v>9</v>
      </c>
      <c r="I67" s="12">
        <v>22</v>
      </c>
      <c r="J67" s="12">
        <v>22</v>
      </c>
      <c r="K67" s="12">
        <v>15</v>
      </c>
      <c r="L67" s="12">
        <v>15</v>
      </c>
      <c r="M67" s="12">
        <v>25</v>
      </c>
      <c r="N67" s="12">
        <v>25</v>
      </c>
      <c r="O67" s="12">
        <v>6</v>
      </c>
      <c r="P67" s="12">
        <v>6</v>
      </c>
      <c r="Q67" s="12">
        <v>9</v>
      </c>
      <c r="R67" s="12">
        <v>9</v>
      </c>
      <c r="S67" s="12">
        <v>10</v>
      </c>
      <c r="T67" s="12">
        <v>10</v>
      </c>
      <c r="U67" s="12">
        <v>17</v>
      </c>
      <c r="V67" s="12">
        <v>17</v>
      </c>
      <c r="W67" s="12">
        <v>15</v>
      </c>
      <c r="X67" s="12">
        <v>15</v>
      </c>
      <c r="Y67" s="12">
        <v>16</v>
      </c>
      <c r="Z67" s="12">
        <v>16</v>
      </c>
      <c r="AA67" s="14">
        <f>+S67+U67+W67+Y67</f>
        <v>58</v>
      </c>
      <c r="AB67" s="14">
        <f>+T67+V67+X67+Z67</f>
        <v>58</v>
      </c>
    </row>
    <row r="68" spans="2:28" ht="20.25" customHeight="1">
      <c r="B68" s="4" t="s">
        <v>9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4">
        <f t="shared" ref="AA68:AA74" si="22">+S68+U68+W68+Y68</f>
        <v>0</v>
      </c>
      <c r="AB68" s="14">
        <f t="shared" ref="AB68:AB74" si="23">+T68+V68+X68+Z68</f>
        <v>0</v>
      </c>
    </row>
    <row r="69" spans="2:28" ht="20.25" customHeight="1">
      <c r="B69" s="4" t="s">
        <v>10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4">
        <f t="shared" si="22"/>
        <v>0</v>
      </c>
      <c r="AB69" s="14">
        <f t="shared" si="23"/>
        <v>0</v>
      </c>
    </row>
    <row r="70" spans="2:28" ht="20.25" customHeight="1">
      <c r="B70" s="4" t="s">
        <v>11</v>
      </c>
      <c r="C70" s="12">
        <v>28</v>
      </c>
      <c r="D70" s="12">
        <v>28</v>
      </c>
      <c r="E70" s="12">
        <v>38</v>
      </c>
      <c r="F70" s="12">
        <v>38</v>
      </c>
      <c r="G70" s="12">
        <v>24</v>
      </c>
      <c r="H70" s="12">
        <v>23</v>
      </c>
      <c r="I70" s="12">
        <v>35</v>
      </c>
      <c r="J70" s="12">
        <v>33</v>
      </c>
      <c r="K70" s="12">
        <v>32</v>
      </c>
      <c r="L70" s="12">
        <v>31</v>
      </c>
      <c r="M70" s="12">
        <v>39</v>
      </c>
      <c r="N70" s="12">
        <v>35</v>
      </c>
      <c r="O70" s="12">
        <v>13</v>
      </c>
      <c r="P70" s="12">
        <v>12</v>
      </c>
      <c r="Q70" s="12">
        <v>30</v>
      </c>
      <c r="R70" s="12">
        <v>30</v>
      </c>
      <c r="S70" s="12">
        <v>20</v>
      </c>
      <c r="T70" s="12">
        <v>19</v>
      </c>
      <c r="U70" s="12">
        <v>29</v>
      </c>
      <c r="V70" s="12">
        <v>29</v>
      </c>
      <c r="W70" s="12">
        <v>33</v>
      </c>
      <c r="X70" s="12">
        <v>34</v>
      </c>
      <c r="Y70" s="12">
        <v>28</v>
      </c>
      <c r="Z70" s="12">
        <v>28</v>
      </c>
      <c r="AA70" s="14">
        <f t="shared" si="22"/>
        <v>110</v>
      </c>
      <c r="AB70" s="14">
        <f t="shared" si="23"/>
        <v>110</v>
      </c>
    </row>
    <row r="71" spans="2:28" ht="15">
      <c r="B71" s="4" t="s">
        <v>12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4">
        <f t="shared" si="22"/>
        <v>0</v>
      </c>
      <c r="AB71" s="14">
        <f t="shared" si="23"/>
        <v>0</v>
      </c>
    </row>
    <row r="72" spans="2:28" ht="20.25" customHeight="1">
      <c r="B72" s="4" t="s">
        <v>13</v>
      </c>
      <c r="C72" s="12">
        <v>176</v>
      </c>
      <c r="D72" s="12">
        <v>31</v>
      </c>
      <c r="E72" s="12">
        <v>215</v>
      </c>
      <c r="F72" s="12">
        <v>39</v>
      </c>
      <c r="G72" s="12">
        <v>152</v>
      </c>
      <c r="H72" s="12">
        <v>36</v>
      </c>
      <c r="I72" s="12">
        <v>159</v>
      </c>
      <c r="J72" s="12">
        <v>42</v>
      </c>
      <c r="K72" s="12">
        <v>193</v>
      </c>
      <c r="L72" s="12">
        <v>43</v>
      </c>
      <c r="M72" s="12">
        <v>171</v>
      </c>
      <c r="N72" s="12">
        <v>44</v>
      </c>
      <c r="O72" s="12">
        <v>103</v>
      </c>
      <c r="P72" s="12">
        <v>31</v>
      </c>
      <c r="Q72" s="12">
        <v>138</v>
      </c>
      <c r="R72" s="12">
        <v>31</v>
      </c>
      <c r="S72" s="12">
        <v>146</v>
      </c>
      <c r="T72" s="12">
        <v>17</v>
      </c>
      <c r="U72" s="12">
        <v>152</v>
      </c>
      <c r="V72" s="12">
        <v>38</v>
      </c>
      <c r="W72" s="12">
        <v>153</v>
      </c>
      <c r="X72" s="12">
        <v>40</v>
      </c>
      <c r="Y72" s="12">
        <v>176</v>
      </c>
      <c r="Z72" s="12">
        <v>31</v>
      </c>
      <c r="AA72" s="14">
        <f t="shared" si="22"/>
        <v>627</v>
      </c>
      <c r="AB72" s="14">
        <f t="shared" si="23"/>
        <v>126</v>
      </c>
    </row>
    <row r="73" spans="2:28" ht="20.25" customHeight="1">
      <c r="B73" s="4" t="s">
        <v>14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4">
        <f t="shared" si="22"/>
        <v>0</v>
      </c>
      <c r="AB73" s="14">
        <f t="shared" si="23"/>
        <v>0</v>
      </c>
    </row>
    <row r="74" spans="2:28" ht="15">
      <c r="B74" s="5" t="s">
        <v>15</v>
      </c>
      <c r="C74" s="12">
        <v>313</v>
      </c>
      <c r="D74" s="12">
        <v>20</v>
      </c>
      <c r="E74" s="12">
        <v>376</v>
      </c>
      <c r="F74" s="12">
        <v>22</v>
      </c>
      <c r="G74" s="12">
        <v>321</v>
      </c>
      <c r="H74" s="12">
        <v>20</v>
      </c>
      <c r="I74" s="12">
        <v>366</v>
      </c>
      <c r="J74" s="12">
        <v>25</v>
      </c>
      <c r="K74" s="12">
        <v>461</v>
      </c>
      <c r="L74" s="12">
        <v>23</v>
      </c>
      <c r="M74" s="12">
        <v>345</v>
      </c>
      <c r="N74" s="12">
        <v>22</v>
      </c>
      <c r="O74" s="12">
        <v>190</v>
      </c>
      <c r="P74" s="12">
        <v>14</v>
      </c>
      <c r="Q74" s="12">
        <v>366</v>
      </c>
      <c r="R74" s="12">
        <v>19</v>
      </c>
      <c r="S74" s="12">
        <v>350</v>
      </c>
      <c r="T74" s="12">
        <v>19</v>
      </c>
      <c r="U74" s="12">
        <v>425</v>
      </c>
      <c r="V74" s="12">
        <v>19</v>
      </c>
      <c r="W74" s="12">
        <v>389</v>
      </c>
      <c r="X74" s="12">
        <v>18</v>
      </c>
      <c r="Y74" s="12">
        <v>313</v>
      </c>
      <c r="Z74" s="12">
        <v>20</v>
      </c>
      <c r="AA74" s="14">
        <f t="shared" si="22"/>
        <v>1477</v>
      </c>
      <c r="AB74" s="14">
        <f t="shared" si="23"/>
        <v>76</v>
      </c>
    </row>
    <row r="75" spans="2:28" ht="15">
      <c r="B75" s="8" t="s">
        <v>16</v>
      </c>
      <c r="C75" s="13">
        <f t="shared" ref="C75:T75" si="24">SUM(C67:C74)</f>
        <v>534</v>
      </c>
      <c r="D75" s="13">
        <f t="shared" si="24"/>
        <v>96</v>
      </c>
      <c r="E75" s="13">
        <f t="shared" si="24"/>
        <v>649</v>
      </c>
      <c r="F75" s="13">
        <f t="shared" si="24"/>
        <v>119</v>
      </c>
      <c r="G75" s="13">
        <f t="shared" si="24"/>
        <v>506</v>
      </c>
      <c r="H75" s="13">
        <f t="shared" si="24"/>
        <v>88</v>
      </c>
      <c r="I75" s="13">
        <f t="shared" si="24"/>
        <v>582</v>
      </c>
      <c r="J75" s="13">
        <f t="shared" si="24"/>
        <v>122</v>
      </c>
      <c r="K75" s="13">
        <f t="shared" si="24"/>
        <v>701</v>
      </c>
      <c r="L75" s="13">
        <f t="shared" si="24"/>
        <v>112</v>
      </c>
      <c r="M75" s="13">
        <f t="shared" si="24"/>
        <v>580</v>
      </c>
      <c r="N75" s="13">
        <f t="shared" si="24"/>
        <v>126</v>
      </c>
      <c r="O75" s="13">
        <f t="shared" si="24"/>
        <v>312</v>
      </c>
      <c r="P75" s="13">
        <f t="shared" si="24"/>
        <v>63</v>
      </c>
      <c r="Q75" s="13">
        <f t="shared" si="24"/>
        <v>543</v>
      </c>
      <c r="R75" s="13">
        <f t="shared" si="24"/>
        <v>89</v>
      </c>
      <c r="S75" s="13">
        <f t="shared" si="24"/>
        <v>526</v>
      </c>
      <c r="T75" s="13">
        <f t="shared" si="24"/>
        <v>65</v>
      </c>
      <c r="U75" s="13">
        <f t="shared" ref="U75:Z75" si="25">SUM(U67:U74)</f>
        <v>623</v>
      </c>
      <c r="V75" s="13">
        <f t="shared" si="25"/>
        <v>103</v>
      </c>
      <c r="W75" s="13">
        <f t="shared" si="25"/>
        <v>590</v>
      </c>
      <c r="X75" s="13">
        <f t="shared" si="25"/>
        <v>107</v>
      </c>
      <c r="Y75" s="13">
        <f t="shared" si="25"/>
        <v>533</v>
      </c>
      <c r="Z75" s="13">
        <f t="shared" si="25"/>
        <v>95</v>
      </c>
      <c r="AA75" s="13">
        <f>+S75+U75+W75+Y75</f>
        <v>2272</v>
      </c>
      <c r="AB75" s="13">
        <f>+T75+V75+X75+Z75</f>
        <v>370</v>
      </c>
    </row>
    <row r="76" spans="2:28" ht="15">
      <c r="B76" s="6" t="s">
        <v>17</v>
      </c>
      <c r="C76" s="12">
        <v>1</v>
      </c>
      <c r="D76" s="12">
        <v>14</v>
      </c>
      <c r="E76" s="12">
        <v>1</v>
      </c>
      <c r="F76" s="12">
        <v>16</v>
      </c>
      <c r="G76" s="12">
        <v>1</v>
      </c>
      <c r="H76" s="12">
        <v>6</v>
      </c>
      <c r="I76" s="12">
        <v>1</v>
      </c>
      <c r="J76" s="12">
        <v>17</v>
      </c>
      <c r="K76" s="12">
        <v>1</v>
      </c>
      <c r="L76" s="12">
        <v>15</v>
      </c>
      <c r="M76" s="12">
        <v>1</v>
      </c>
      <c r="N76" s="12">
        <v>18</v>
      </c>
      <c r="O76" s="12">
        <v>1</v>
      </c>
      <c r="P76" s="12">
        <v>5</v>
      </c>
      <c r="Q76" s="12">
        <v>1</v>
      </c>
      <c r="R76" s="12">
        <v>7</v>
      </c>
      <c r="S76" s="12">
        <v>1</v>
      </c>
      <c r="T76" s="12">
        <v>6</v>
      </c>
      <c r="U76" s="12">
        <v>1</v>
      </c>
      <c r="V76" s="12">
        <v>17</v>
      </c>
      <c r="W76" s="12">
        <v>1</v>
      </c>
      <c r="X76" s="12">
        <v>13</v>
      </c>
      <c r="Y76" s="12">
        <v>1</v>
      </c>
      <c r="Z76" s="12">
        <v>11</v>
      </c>
      <c r="AA76" s="14">
        <f>+S76+U76+W76+Y76</f>
        <v>4</v>
      </c>
      <c r="AB76" s="14">
        <f>+V76+X76+Z76+T76</f>
        <v>47</v>
      </c>
    </row>
    <row r="77" spans="2:28" ht="15">
      <c r="B77" s="9" t="s">
        <v>16</v>
      </c>
      <c r="C77" s="13">
        <f t="shared" ref="C77:T77" si="26">SUM(C76)</f>
        <v>1</v>
      </c>
      <c r="D77" s="13">
        <f t="shared" si="26"/>
        <v>14</v>
      </c>
      <c r="E77" s="13">
        <f t="shared" si="26"/>
        <v>1</v>
      </c>
      <c r="F77" s="13">
        <f t="shared" si="26"/>
        <v>16</v>
      </c>
      <c r="G77" s="13">
        <f t="shared" si="26"/>
        <v>1</v>
      </c>
      <c r="H77" s="13">
        <f t="shared" si="26"/>
        <v>6</v>
      </c>
      <c r="I77" s="13">
        <f t="shared" si="26"/>
        <v>1</v>
      </c>
      <c r="J77" s="13">
        <f t="shared" si="26"/>
        <v>17</v>
      </c>
      <c r="K77" s="13">
        <f t="shared" si="26"/>
        <v>1</v>
      </c>
      <c r="L77" s="13">
        <f t="shared" si="26"/>
        <v>15</v>
      </c>
      <c r="M77" s="13">
        <f t="shared" si="26"/>
        <v>1</v>
      </c>
      <c r="N77" s="13">
        <f t="shared" si="26"/>
        <v>18</v>
      </c>
      <c r="O77" s="13">
        <f t="shared" si="26"/>
        <v>1</v>
      </c>
      <c r="P77" s="13">
        <f t="shared" si="26"/>
        <v>5</v>
      </c>
      <c r="Q77" s="13">
        <f t="shared" si="26"/>
        <v>1</v>
      </c>
      <c r="R77" s="13">
        <f t="shared" si="26"/>
        <v>7</v>
      </c>
      <c r="S77" s="13">
        <f t="shared" si="26"/>
        <v>1</v>
      </c>
      <c r="T77" s="13">
        <f t="shared" si="26"/>
        <v>6</v>
      </c>
      <c r="U77" s="13">
        <f t="shared" ref="U77:Z77" si="27">SUM(U76)</f>
        <v>1</v>
      </c>
      <c r="V77" s="13">
        <f t="shared" si="27"/>
        <v>17</v>
      </c>
      <c r="W77" s="13">
        <f t="shared" si="27"/>
        <v>1</v>
      </c>
      <c r="X77" s="13">
        <f t="shared" si="27"/>
        <v>13</v>
      </c>
      <c r="Y77" s="13">
        <f t="shared" si="27"/>
        <v>1</v>
      </c>
      <c r="Z77" s="13">
        <f t="shared" si="27"/>
        <v>11</v>
      </c>
      <c r="AA77" s="13">
        <f t="shared" ref="AA77" si="28">+S77+U77+W77+Y77</f>
        <v>4</v>
      </c>
      <c r="AB77" s="13">
        <f>+V77+X77+Z77+T77</f>
        <v>47</v>
      </c>
    </row>
    <row r="78" spans="2:28" ht="15">
      <c r="B78" s="7" t="s">
        <v>18</v>
      </c>
      <c r="C78" s="12">
        <v>3</v>
      </c>
      <c r="D78" s="12">
        <v>3</v>
      </c>
      <c r="E78" s="12">
        <v>4</v>
      </c>
      <c r="F78" s="12">
        <v>4</v>
      </c>
      <c r="G78" s="12">
        <v>3</v>
      </c>
      <c r="H78" s="12">
        <v>3</v>
      </c>
      <c r="I78" s="12">
        <v>1</v>
      </c>
      <c r="J78" s="12">
        <v>1</v>
      </c>
      <c r="K78" s="12"/>
      <c r="L78" s="12"/>
      <c r="M78" s="12">
        <v>1</v>
      </c>
      <c r="N78" s="12">
        <v>1</v>
      </c>
      <c r="O78" s="12">
        <v>1</v>
      </c>
      <c r="P78" s="12">
        <v>1</v>
      </c>
      <c r="Q78" s="12">
        <v>2</v>
      </c>
      <c r="R78" s="12">
        <v>2</v>
      </c>
      <c r="S78" s="12">
        <v>1</v>
      </c>
      <c r="T78" s="12">
        <v>1</v>
      </c>
      <c r="U78" s="12">
        <v>1</v>
      </c>
      <c r="V78" s="12">
        <v>1</v>
      </c>
      <c r="W78" s="12">
        <v>1</v>
      </c>
      <c r="X78" s="12">
        <v>1</v>
      </c>
      <c r="Y78" s="12">
        <v>1</v>
      </c>
      <c r="Z78" s="12">
        <v>2</v>
      </c>
      <c r="AA78" s="15">
        <f>+U78+W78+Y78+S78</f>
        <v>4</v>
      </c>
      <c r="AB78" s="15">
        <f t="shared" ref="AB78:AB79" si="29">+T78+V78+X78+Z78</f>
        <v>5</v>
      </c>
    </row>
    <row r="79" spans="2:28" ht="37.5" customHeight="1">
      <c r="B79" s="10" t="s">
        <v>16</v>
      </c>
      <c r="C79" s="13">
        <f t="shared" ref="C79:J79" si="30">SUM(C78)</f>
        <v>3</v>
      </c>
      <c r="D79" s="13">
        <f t="shared" si="30"/>
        <v>3</v>
      </c>
      <c r="E79" s="13">
        <f t="shared" si="30"/>
        <v>4</v>
      </c>
      <c r="F79" s="13">
        <f t="shared" si="30"/>
        <v>4</v>
      </c>
      <c r="G79" s="13">
        <f t="shared" si="30"/>
        <v>3</v>
      </c>
      <c r="H79" s="13">
        <f t="shared" si="30"/>
        <v>3</v>
      </c>
      <c r="I79" s="13">
        <f t="shared" si="30"/>
        <v>1</v>
      </c>
      <c r="J79" s="13">
        <f t="shared" si="30"/>
        <v>1</v>
      </c>
      <c r="K79" s="13"/>
      <c r="L79" s="13"/>
      <c r="M79" s="13">
        <f t="shared" ref="M79:T79" si="31">SUM(M78)</f>
        <v>1</v>
      </c>
      <c r="N79" s="13">
        <f t="shared" si="31"/>
        <v>1</v>
      </c>
      <c r="O79" s="13">
        <f t="shared" si="31"/>
        <v>1</v>
      </c>
      <c r="P79" s="13">
        <f t="shared" si="31"/>
        <v>1</v>
      </c>
      <c r="Q79" s="13">
        <f t="shared" si="31"/>
        <v>2</v>
      </c>
      <c r="R79" s="13">
        <f t="shared" si="31"/>
        <v>2</v>
      </c>
      <c r="S79" s="13">
        <f t="shared" si="31"/>
        <v>1</v>
      </c>
      <c r="T79" s="13">
        <f t="shared" si="31"/>
        <v>1</v>
      </c>
      <c r="U79" s="13">
        <f t="shared" ref="U79:Z79" si="32">SUM(U78)</f>
        <v>1</v>
      </c>
      <c r="V79" s="13">
        <f t="shared" si="32"/>
        <v>1</v>
      </c>
      <c r="W79" s="13">
        <f t="shared" si="32"/>
        <v>1</v>
      </c>
      <c r="X79" s="13">
        <f t="shared" si="32"/>
        <v>1</v>
      </c>
      <c r="Y79" s="13">
        <f t="shared" si="32"/>
        <v>1</v>
      </c>
      <c r="Z79" s="13">
        <f t="shared" si="32"/>
        <v>2</v>
      </c>
      <c r="AA79" s="16">
        <f>SUM(AA78:AA78)</f>
        <v>4</v>
      </c>
      <c r="AB79" s="16">
        <f t="shared" si="29"/>
        <v>5</v>
      </c>
    </row>
    <row r="80" spans="2:28" ht="15">
      <c r="B80" s="21" t="s">
        <v>19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2">
        <f>+C80+E80+G80+I80+K80+M80+O80+Q80+S80+U80+W80+Y80</f>
        <v>0</v>
      </c>
      <c r="AB80" s="12">
        <f>+D80+F80+H80+J80+L80+N80+P80+R80+T80+X80+Z80</f>
        <v>0</v>
      </c>
    </row>
    <row r="81" spans="2:28" ht="15">
      <c r="B81" s="22" t="s">
        <v>20</v>
      </c>
      <c r="C81" s="14"/>
      <c r="D81" s="14"/>
      <c r="E81" s="14"/>
      <c r="F81" s="14"/>
      <c r="G81" s="14"/>
      <c r="H81" s="14"/>
      <c r="I81" s="14"/>
      <c r="J81" s="14"/>
      <c r="K81" s="14">
        <v>1</v>
      </c>
      <c r="L81" s="14">
        <v>1</v>
      </c>
      <c r="M81" s="14"/>
      <c r="N81" s="14"/>
      <c r="O81" s="14">
        <v>1</v>
      </c>
      <c r="P81" s="14">
        <v>1</v>
      </c>
      <c r="Q81" s="14">
        <v>1</v>
      </c>
      <c r="R81" s="14">
        <v>1</v>
      </c>
      <c r="S81" s="14"/>
      <c r="T81" s="14"/>
      <c r="U81" s="14"/>
      <c r="V81" s="14"/>
      <c r="W81" s="14"/>
      <c r="X81" s="14"/>
      <c r="Y81" s="14"/>
      <c r="Z81" s="14"/>
      <c r="AA81" s="12">
        <f t="shared" ref="AA81:AA82" si="33">+C81+E81+G81+I81+K81+M81+O81+Q81+S81+U81+W81+Y81</f>
        <v>3</v>
      </c>
      <c r="AB81" s="12">
        <f t="shared" ref="AB81:AB82" si="34">+D81+F81+H81+J81+L81+N81+P81+R81+T81+X81+Z81</f>
        <v>3</v>
      </c>
    </row>
    <row r="82" spans="2:28" ht="15">
      <c r="B82" s="49" t="s">
        <v>31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>
        <v>32</v>
      </c>
      <c r="T82" s="14">
        <v>32</v>
      </c>
      <c r="U82" s="14"/>
      <c r="V82" s="14"/>
      <c r="W82" s="14"/>
      <c r="X82" s="14"/>
      <c r="Y82" s="14"/>
      <c r="Z82" s="14"/>
      <c r="AA82" s="12">
        <f t="shared" si="33"/>
        <v>32</v>
      </c>
      <c r="AB82" s="12">
        <f t="shared" si="34"/>
        <v>32</v>
      </c>
    </row>
    <row r="83" spans="2:28" ht="15">
      <c r="B83" s="10" t="s">
        <v>16</v>
      </c>
      <c r="C83" s="13"/>
      <c r="D83" s="13"/>
      <c r="E83" s="13"/>
      <c r="F83" s="13"/>
      <c r="G83" s="13"/>
      <c r="H83" s="13"/>
      <c r="I83" s="13"/>
      <c r="J83" s="13"/>
      <c r="K83" s="13">
        <f>SUM(K81)</f>
        <v>1</v>
      </c>
      <c r="L83" s="13">
        <f>SUM(L81)</f>
        <v>1</v>
      </c>
      <c r="M83" s="13"/>
      <c r="N83" s="13"/>
      <c r="O83" s="13">
        <f>SUM(O81)</f>
        <v>1</v>
      </c>
      <c r="P83" s="13">
        <f>SUM(P81)</f>
        <v>1</v>
      </c>
      <c r="Q83" s="13"/>
      <c r="R83" s="13"/>
      <c r="S83" s="13">
        <f>SUM(S82)</f>
        <v>32</v>
      </c>
      <c r="T83" s="13">
        <f>SUM(T82)</f>
        <v>32</v>
      </c>
      <c r="U83" s="13"/>
      <c r="V83" s="13"/>
      <c r="W83" s="13"/>
      <c r="X83" s="13"/>
      <c r="Y83" s="13"/>
      <c r="Z83" s="13"/>
      <c r="AA83" s="13">
        <f>SUM(AA80:AA82)</f>
        <v>35</v>
      </c>
      <c r="AB83" s="13">
        <f>SUM(AB80:AB82)</f>
        <v>35</v>
      </c>
    </row>
    <row r="87" spans="2:28" ht="15.75">
      <c r="B87" s="86" t="s">
        <v>33</v>
      </c>
      <c r="C87" s="76" t="s">
        <v>34</v>
      </c>
      <c r="D87" s="76"/>
      <c r="E87" s="76" t="s">
        <v>35</v>
      </c>
      <c r="F87" s="76"/>
      <c r="G87" s="76" t="s">
        <v>24</v>
      </c>
      <c r="H87" s="76"/>
      <c r="I87" s="76" t="s">
        <v>36</v>
      </c>
      <c r="J87" s="76"/>
      <c r="K87" s="76" t="s">
        <v>26</v>
      </c>
      <c r="L87" s="76"/>
      <c r="M87" s="76" t="s">
        <v>27</v>
      </c>
      <c r="N87" s="76"/>
      <c r="O87" s="76" t="s">
        <v>28</v>
      </c>
      <c r="P87" s="76"/>
      <c r="Q87" s="76" t="s">
        <v>37</v>
      </c>
      <c r="R87" s="76"/>
      <c r="S87" s="76" t="s">
        <v>1</v>
      </c>
      <c r="T87" s="76"/>
      <c r="U87" s="76" t="s">
        <v>2</v>
      </c>
      <c r="V87" s="76"/>
      <c r="W87" s="76" t="s">
        <v>3</v>
      </c>
      <c r="X87" s="76"/>
      <c r="Y87" s="76" t="s">
        <v>4</v>
      </c>
      <c r="Z87" s="76"/>
      <c r="AA87" s="76" t="s">
        <v>5</v>
      </c>
      <c r="AB87" s="76"/>
    </row>
    <row r="88" spans="2:28" ht="31.5">
      <c r="B88" s="79"/>
      <c r="C88" s="18" t="s">
        <v>6</v>
      </c>
      <c r="D88" s="18" t="s">
        <v>7</v>
      </c>
      <c r="E88" s="18" t="s">
        <v>6</v>
      </c>
      <c r="F88" s="18" t="s">
        <v>7</v>
      </c>
      <c r="G88" s="18" t="s">
        <v>6</v>
      </c>
      <c r="H88" s="18" t="s">
        <v>7</v>
      </c>
      <c r="I88" s="18" t="s">
        <v>6</v>
      </c>
      <c r="J88" s="18" t="s">
        <v>7</v>
      </c>
      <c r="K88" s="18" t="s">
        <v>6</v>
      </c>
      <c r="L88" s="18" t="s">
        <v>7</v>
      </c>
      <c r="M88" s="18" t="s">
        <v>6</v>
      </c>
      <c r="N88" s="18" t="s">
        <v>7</v>
      </c>
      <c r="O88" s="18" t="s">
        <v>6</v>
      </c>
      <c r="P88" s="18" t="s">
        <v>7</v>
      </c>
      <c r="Q88" s="18" t="s">
        <v>6</v>
      </c>
      <c r="R88" s="18" t="s">
        <v>7</v>
      </c>
      <c r="S88" s="18" t="s">
        <v>6</v>
      </c>
      <c r="T88" s="18" t="s">
        <v>7</v>
      </c>
      <c r="U88" s="18" t="s">
        <v>6</v>
      </c>
      <c r="V88" s="18" t="s">
        <v>7</v>
      </c>
      <c r="W88" s="18" t="s">
        <v>6</v>
      </c>
      <c r="X88" s="18" t="s">
        <v>7</v>
      </c>
      <c r="Y88" s="18" t="s">
        <v>6</v>
      </c>
      <c r="Z88" s="18" t="s">
        <v>7</v>
      </c>
      <c r="AA88" s="18" t="s">
        <v>6</v>
      </c>
      <c r="AB88" s="18" t="s">
        <v>7</v>
      </c>
    </row>
    <row r="89" spans="2:28" ht="15">
      <c r="B89" s="3" t="s">
        <v>8</v>
      </c>
      <c r="C89" s="12">
        <v>25</v>
      </c>
      <c r="D89" s="12">
        <v>25</v>
      </c>
      <c r="E89" s="12">
        <v>15</v>
      </c>
      <c r="F89" s="12">
        <v>15</v>
      </c>
      <c r="G89" s="12">
        <v>15</v>
      </c>
      <c r="H89" s="12">
        <v>15</v>
      </c>
      <c r="I89" s="12">
        <v>18</v>
      </c>
      <c r="J89" s="12">
        <v>18</v>
      </c>
      <c r="K89" s="12">
        <v>15</v>
      </c>
      <c r="L89" s="12">
        <v>15</v>
      </c>
      <c r="M89" s="12">
        <v>14</v>
      </c>
      <c r="N89" s="12">
        <v>14</v>
      </c>
      <c r="O89" s="12">
        <v>2</v>
      </c>
      <c r="P89" s="12">
        <v>2</v>
      </c>
      <c r="Q89" s="12">
        <v>28</v>
      </c>
      <c r="R89" s="12">
        <v>28</v>
      </c>
      <c r="S89" s="12">
        <v>15</v>
      </c>
      <c r="T89" s="12">
        <v>15</v>
      </c>
      <c r="U89" s="12">
        <v>11</v>
      </c>
      <c r="V89" s="12">
        <v>11</v>
      </c>
      <c r="W89" s="12">
        <v>20</v>
      </c>
      <c r="X89" s="12">
        <v>20</v>
      </c>
      <c r="Y89" s="14">
        <v>10</v>
      </c>
      <c r="Z89" s="14">
        <v>10</v>
      </c>
      <c r="AA89" s="12">
        <f>+C89+E89+G89+I89+K89+M89+O89+Q89+S89+U89+W89+Y89</f>
        <v>188</v>
      </c>
      <c r="AB89" s="12">
        <f>+D89+F89+H89+J89+L89+N89+P89+R89+T89+V89+X89+Z89</f>
        <v>188</v>
      </c>
    </row>
    <row r="90" spans="2:28" ht="15">
      <c r="B90" s="4" t="s">
        <v>9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4"/>
      <c r="Z90" s="14"/>
      <c r="AA90" s="12">
        <f t="shared" ref="AA90:AB101" si="35">+C90+E90+G90+I90+K90+M90+O90+Q90+S90+U90+W90+Y90</f>
        <v>0</v>
      </c>
      <c r="AB90" s="12">
        <f t="shared" si="35"/>
        <v>0</v>
      </c>
    </row>
    <row r="91" spans="2:28" ht="15">
      <c r="B91" s="4" t="s">
        <v>10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4"/>
      <c r="Z91" s="14"/>
      <c r="AA91" s="12">
        <f t="shared" si="35"/>
        <v>0</v>
      </c>
      <c r="AB91" s="12">
        <f t="shared" si="35"/>
        <v>0</v>
      </c>
    </row>
    <row r="92" spans="2:28" ht="15">
      <c r="B92" s="4" t="s">
        <v>11</v>
      </c>
      <c r="C92" s="12">
        <v>33</v>
      </c>
      <c r="D92" s="12">
        <v>33</v>
      </c>
      <c r="E92" s="12">
        <v>25</v>
      </c>
      <c r="F92" s="12">
        <v>25</v>
      </c>
      <c r="G92" s="12">
        <v>33</v>
      </c>
      <c r="H92" s="12">
        <v>32</v>
      </c>
      <c r="I92" s="12">
        <v>35</v>
      </c>
      <c r="J92" s="12">
        <v>35</v>
      </c>
      <c r="K92" s="12">
        <v>35</v>
      </c>
      <c r="L92" s="12">
        <v>35</v>
      </c>
      <c r="M92" s="12">
        <v>36</v>
      </c>
      <c r="N92" s="12">
        <v>21</v>
      </c>
      <c r="O92" s="12">
        <v>21</v>
      </c>
      <c r="P92" s="12">
        <v>21</v>
      </c>
      <c r="Q92" s="12">
        <v>33</v>
      </c>
      <c r="R92" s="12">
        <v>33</v>
      </c>
      <c r="S92" s="12">
        <v>31</v>
      </c>
      <c r="T92" s="12">
        <v>36</v>
      </c>
      <c r="U92" s="12">
        <v>28</v>
      </c>
      <c r="V92" s="12">
        <v>28</v>
      </c>
      <c r="W92" s="12">
        <v>46</v>
      </c>
      <c r="X92" s="12">
        <v>44</v>
      </c>
      <c r="Y92" s="14">
        <v>16</v>
      </c>
      <c r="Z92" s="14">
        <v>15</v>
      </c>
      <c r="AA92" s="12">
        <f t="shared" si="35"/>
        <v>372</v>
      </c>
      <c r="AB92" s="12">
        <f t="shared" si="35"/>
        <v>358</v>
      </c>
    </row>
    <row r="93" spans="2:28" ht="15">
      <c r="B93" s="4" t="s">
        <v>12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4"/>
      <c r="Z93" s="14"/>
      <c r="AA93" s="12">
        <f t="shared" si="35"/>
        <v>0</v>
      </c>
      <c r="AB93" s="12">
        <f t="shared" si="35"/>
        <v>0</v>
      </c>
    </row>
    <row r="94" spans="2:28" ht="15">
      <c r="B94" s="4" t="s">
        <v>38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4"/>
      <c r="Z94" s="14"/>
      <c r="AA94" s="12">
        <f t="shared" si="35"/>
        <v>0</v>
      </c>
      <c r="AB94" s="12">
        <f t="shared" si="35"/>
        <v>0</v>
      </c>
    </row>
    <row r="95" spans="2:28" ht="15">
      <c r="B95" s="4" t="s">
        <v>39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4"/>
      <c r="Z95" s="14"/>
      <c r="AA95" s="12">
        <f t="shared" si="35"/>
        <v>0</v>
      </c>
      <c r="AB95" s="12">
        <f t="shared" si="35"/>
        <v>0</v>
      </c>
    </row>
    <row r="96" spans="2:28" ht="15">
      <c r="B96" s="4" t="s">
        <v>13</v>
      </c>
      <c r="C96" s="12">
        <v>203</v>
      </c>
      <c r="D96" s="12">
        <v>58</v>
      </c>
      <c r="E96" s="12">
        <v>159</v>
      </c>
      <c r="F96" s="12">
        <v>49</v>
      </c>
      <c r="G96" s="12">
        <v>166</v>
      </c>
      <c r="H96" s="12">
        <v>63</v>
      </c>
      <c r="I96" s="12">
        <v>169</v>
      </c>
      <c r="J96" s="12">
        <v>54</v>
      </c>
      <c r="K96" s="12">
        <v>174</v>
      </c>
      <c r="L96" s="12">
        <v>56</v>
      </c>
      <c r="M96" s="12">
        <v>202</v>
      </c>
      <c r="N96" s="12">
        <v>50</v>
      </c>
      <c r="O96" s="12">
        <v>62</v>
      </c>
      <c r="P96" s="12">
        <v>32</v>
      </c>
      <c r="Q96" s="12">
        <v>229</v>
      </c>
      <c r="R96" s="12">
        <v>61</v>
      </c>
      <c r="S96" s="12">
        <v>194</v>
      </c>
      <c r="T96" s="12">
        <v>59</v>
      </c>
      <c r="U96" s="12">
        <v>184</v>
      </c>
      <c r="V96" s="12">
        <v>48</v>
      </c>
      <c r="W96" s="12">
        <v>150</v>
      </c>
      <c r="X96" s="12">
        <v>148</v>
      </c>
      <c r="Y96" s="14">
        <v>110</v>
      </c>
      <c r="Z96" s="14">
        <v>40</v>
      </c>
      <c r="AA96" s="12">
        <f t="shared" si="35"/>
        <v>2002</v>
      </c>
      <c r="AB96" s="12">
        <f t="shared" si="35"/>
        <v>718</v>
      </c>
    </row>
    <row r="97" spans="2:28" ht="15">
      <c r="B97" s="4" t="s">
        <v>14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4"/>
      <c r="Z97" s="14"/>
      <c r="AA97" s="12">
        <f t="shared" si="35"/>
        <v>0</v>
      </c>
      <c r="AB97" s="12">
        <f t="shared" si="35"/>
        <v>0</v>
      </c>
    </row>
    <row r="98" spans="2:28" ht="15">
      <c r="B98" s="4" t="s">
        <v>40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4"/>
      <c r="Z98" s="14"/>
      <c r="AA98" s="12">
        <f t="shared" si="35"/>
        <v>0</v>
      </c>
      <c r="AB98" s="12">
        <f t="shared" si="35"/>
        <v>0</v>
      </c>
    </row>
    <row r="99" spans="2:28" ht="15">
      <c r="B99" s="4" t="s">
        <v>41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4"/>
      <c r="Z99" s="14"/>
      <c r="AA99" s="12">
        <f t="shared" si="35"/>
        <v>0</v>
      </c>
      <c r="AB99" s="12">
        <f t="shared" si="35"/>
        <v>0</v>
      </c>
    </row>
    <row r="100" spans="2:28" ht="15">
      <c r="B100" s="5" t="s">
        <v>15</v>
      </c>
      <c r="C100" s="12">
        <v>276</v>
      </c>
      <c r="D100" s="12">
        <v>20</v>
      </c>
      <c r="E100" s="12">
        <v>293</v>
      </c>
      <c r="F100" s="12">
        <v>17</v>
      </c>
      <c r="G100" s="12">
        <v>370</v>
      </c>
      <c r="H100" s="12">
        <v>17</v>
      </c>
      <c r="I100" s="12">
        <v>209</v>
      </c>
      <c r="J100" s="12">
        <v>24</v>
      </c>
      <c r="K100" s="12">
        <v>345</v>
      </c>
      <c r="L100" s="12">
        <v>23</v>
      </c>
      <c r="M100" s="12">
        <v>402</v>
      </c>
      <c r="N100" s="12">
        <v>28</v>
      </c>
      <c r="O100" s="12">
        <v>149</v>
      </c>
      <c r="P100" s="12">
        <v>19</v>
      </c>
      <c r="Q100" s="12">
        <v>4475</v>
      </c>
      <c r="R100" s="12">
        <v>114</v>
      </c>
      <c r="S100" s="12">
        <v>137</v>
      </c>
      <c r="T100" s="12">
        <v>22</v>
      </c>
      <c r="U100" s="12">
        <v>159</v>
      </c>
      <c r="V100" s="12">
        <v>20</v>
      </c>
      <c r="W100" s="12">
        <v>358</v>
      </c>
      <c r="X100" s="12">
        <v>27</v>
      </c>
      <c r="Y100" s="14">
        <v>127</v>
      </c>
      <c r="Z100" s="14">
        <v>16</v>
      </c>
      <c r="AA100" s="12">
        <f t="shared" si="35"/>
        <v>7300</v>
      </c>
      <c r="AB100" s="12">
        <f t="shared" si="35"/>
        <v>347</v>
      </c>
    </row>
    <row r="101" spans="2:28" ht="15">
      <c r="B101" s="8" t="s">
        <v>16</v>
      </c>
      <c r="C101" s="13">
        <f t="shared" ref="C101:H101" si="36">SUM(C89:C100)</f>
        <v>537</v>
      </c>
      <c r="D101" s="13">
        <f t="shared" si="36"/>
        <v>136</v>
      </c>
      <c r="E101" s="13">
        <f t="shared" si="36"/>
        <v>492</v>
      </c>
      <c r="F101" s="13">
        <f t="shared" si="36"/>
        <v>106</v>
      </c>
      <c r="G101" s="13">
        <f t="shared" si="36"/>
        <v>584</v>
      </c>
      <c r="H101" s="13">
        <f t="shared" si="36"/>
        <v>127</v>
      </c>
      <c r="I101" s="13">
        <f t="shared" ref="I101:Z101" si="37">SUM(I89:I100)</f>
        <v>431</v>
      </c>
      <c r="J101" s="13">
        <f t="shared" si="37"/>
        <v>131</v>
      </c>
      <c r="K101" s="13">
        <f t="shared" si="37"/>
        <v>569</v>
      </c>
      <c r="L101" s="13">
        <f t="shared" si="37"/>
        <v>129</v>
      </c>
      <c r="M101" s="13">
        <f t="shared" si="37"/>
        <v>654</v>
      </c>
      <c r="N101" s="13">
        <f t="shared" si="37"/>
        <v>113</v>
      </c>
      <c r="O101" s="13">
        <f t="shared" si="37"/>
        <v>234</v>
      </c>
      <c r="P101" s="13">
        <f t="shared" si="37"/>
        <v>74</v>
      </c>
      <c r="Q101" s="13">
        <f t="shared" si="37"/>
        <v>4765</v>
      </c>
      <c r="R101" s="13">
        <f t="shared" si="37"/>
        <v>236</v>
      </c>
      <c r="S101" s="13">
        <f t="shared" si="37"/>
        <v>377</v>
      </c>
      <c r="T101" s="13">
        <f t="shared" si="37"/>
        <v>132</v>
      </c>
      <c r="U101" s="13">
        <f t="shared" si="37"/>
        <v>382</v>
      </c>
      <c r="V101" s="13">
        <f t="shared" si="37"/>
        <v>107</v>
      </c>
      <c r="W101" s="13">
        <f t="shared" si="37"/>
        <v>574</v>
      </c>
      <c r="X101" s="13">
        <f t="shared" si="37"/>
        <v>239</v>
      </c>
      <c r="Y101" s="13">
        <f t="shared" si="37"/>
        <v>263</v>
      </c>
      <c r="Z101" s="13">
        <f t="shared" si="37"/>
        <v>81</v>
      </c>
      <c r="AA101" s="13">
        <f t="shared" si="35"/>
        <v>9862</v>
      </c>
      <c r="AB101" s="13">
        <f t="shared" si="35"/>
        <v>1611</v>
      </c>
    </row>
    <row r="102" spans="2:28" ht="15">
      <c r="B102" s="17" t="s">
        <v>42</v>
      </c>
      <c r="C102" s="12">
        <v>1</v>
      </c>
      <c r="D102" s="12">
        <v>17</v>
      </c>
      <c r="E102" s="12">
        <v>1</v>
      </c>
      <c r="F102" s="12">
        <v>11</v>
      </c>
      <c r="G102" s="12">
        <v>1</v>
      </c>
      <c r="H102" s="12">
        <v>13</v>
      </c>
      <c r="I102" s="12">
        <v>1</v>
      </c>
      <c r="J102" s="12">
        <v>18</v>
      </c>
      <c r="K102" s="12">
        <v>1</v>
      </c>
      <c r="L102" s="12">
        <v>15</v>
      </c>
      <c r="M102" s="12">
        <v>1</v>
      </c>
      <c r="N102" s="12">
        <v>19</v>
      </c>
      <c r="O102" s="12">
        <v>1</v>
      </c>
      <c r="P102" s="12">
        <v>19</v>
      </c>
      <c r="Q102" s="12">
        <v>1</v>
      </c>
      <c r="R102" s="12">
        <v>27</v>
      </c>
      <c r="S102" s="12">
        <v>1</v>
      </c>
      <c r="T102" s="12">
        <v>14</v>
      </c>
      <c r="U102" s="12">
        <v>1</v>
      </c>
      <c r="V102" s="12">
        <v>11</v>
      </c>
      <c r="W102" s="12">
        <v>1</v>
      </c>
      <c r="X102" s="12">
        <v>18</v>
      </c>
      <c r="Y102" s="14">
        <v>1</v>
      </c>
      <c r="Z102" s="14">
        <v>10</v>
      </c>
      <c r="AA102" s="12">
        <f>+C102+E102+G102+I102+K102+O102+M102+Q102+S102+U102+W102+Y102</f>
        <v>12</v>
      </c>
      <c r="AB102" s="12">
        <f>+D102+F102+H102+J102+L102+N102+P102+R102+T102+V102+X102+Z102</f>
        <v>192</v>
      </c>
    </row>
    <row r="103" spans="2:28" ht="15">
      <c r="B103" s="9" t="s">
        <v>16</v>
      </c>
      <c r="C103" s="13">
        <f t="shared" ref="C103:J103" si="38">SUM(C102)</f>
        <v>1</v>
      </c>
      <c r="D103" s="13">
        <f t="shared" si="38"/>
        <v>17</v>
      </c>
      <c r="E103" s="13">
        <f t="shared" si="38"/>
        <v>1</v>
      </c>
      <c r="F103" s="13">
        <f t="shared" si="38"/>
        <v>11</v>
      </c>
      <c r="G103" s="13">
        <f t="shared" si="38"/>
        <v>1</v>
      </c>
      <c r="H103" s="13">
        <f t="shared" si="38"/>
        <v>13</v>
      </c>
      <c r="I103" s="13">
        <f t="shared" si="38"/>
        <v>1</v>
      </c>
      <c r="J103" s="13">
        <f t="shared" si="38"/>
        <v>18</v>
      </c>
      <c r="K103" s="13">
        <f t="shared" ref="K103:Z103" si="39">SUM(K102)</f>
        <v>1</v>
      </c>
      <c r="L103" s="13">
        <f t="shared" si="39"/>
        <v>15</v>
      </c>
      <c r="M103" s="13">
        <f t="shared" si="39"/>
        <v>1</v>
      </c>
      <c r="N103" s="13">
        <f t="shared" si="39"/>
        <v>19</v>
      </c>
      <c r="O103" s="13">
        <f t="shared" si="39"/>
        <v>1</v>
      </c>
      <c r="P103" s="13">
        <f t="shared" si="39"/>
        <v>19</v>
      </c>
      <c r="Q103" s="13">
        <f t="shared" si="39"/>
        <v>1</v>
      </c>
      <c r="R103" s="13">
        <f t="shared" si="39"/>
        <v>27</v>
      </c>
      <c r="S103" s="13">
        <f t="shared" si="39"/>
        <v>1</v>
      </c>
      <c r="T103" s="13">
        <f t="shared" si="39"/>
        <v>14</v>
      </c>
      <c r="U103" s="13">
        <f t="shared" si="39"/>
        <v>1</v>
      </c>
      <c r="V103" s="13">
        <f t="shared" si="39"/>
        <v>11</v>
      </c>
      <c r="W103" s="13">
        <f t="shared" si="39"/>
        <v>1</v>
      </c>
      <c r="X103" s="13">
        <f t="shared" si="39"/>
        <v>18</v>
      </c>
      <c r="Y103" s="13">
        <f t="shared" si="39"/>
        <v>1</v>
      </c>
      <c r="Z103" s="13">
        <f t="shared" si="39"/>
        <v>10</v>
      </c>
      <c r="AA103" s="13">
        <f t="shared" ref="AA103" si="40">+C103+E103+G103+I103+K103+O103+M103+Q103+S103+U103+W103+Y103</f>
        <v>12</v>
      </c>
      <c r="AB103" s="13">
        <f t="shared" ref="AB103" si="41">+D103+F103+H103+J103+L103+N103+P103+R103+T103+V103+X103+Z103</f>
        <v>192</v>
      </c>
    </row>
    <row r="104" spans="2:28" ht="15">
      <c r="B104" s="7" t="s">
        <v>43</v>
      </c>
      <c r="C104" s="12">
        <v>4</v>
      </c>
      <c r="D104" s="12">
        <v>4</v>
      </c>
      <c r="E104" s="12">
        <v>2</v>
      </c>
      <c r="F104" s="12">
        <v>2</v>
      </c>
      <c r="G104" s="12">
        <v>2</v>
      </c>
      <c r="H104" s="12">
        <v>2</v>
      </c>
      <c r="I104" s="12">
        <v>1</v>
      </c>
      <c r="J104" s="12">
        <v>1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4"/>
      <c r="Z104" s="14"/>
      <c r="AA104" s="12">
        <f t="shared" ref="AA104:AA105" si="42">+C104+E104+G104+I104+K104+M104+O104+Q104+S104+U104+W104+Y104</f>
        <v>9</v>
      </c>
      <c r="AB104" s="12">
        <f t="shared" ref="AB104:AB105" si="43">+D104+F104+H104+J104+L104+P104+R104+T104+V104+X104+Z104+N104</f>
        <v>9</v>
      </c>
    </row>
    <row r="105" spans="2:28" ht="15">
      <c r="B105" s="10" t="s">
        <v>16</v>
      </c>
      <c r="C105" s="13">
        <f t="shared" ref="C105:J105" si="44">SUM(C104)</f>
        <v>4</v>
      </c>
      <c r="D105" s="13">
        <f t="shared" si="44"/>
        <v>4</v>
      </c>
      <c r="E105" s="13">
        <f t="shared" si="44"/>
        <v>2</v>
      </c>
      <c r="F105" s="13">
        <f t="shared" si="44"/>
        <v>2</v>
      </c>
      <c r="G105" s="13">
        <f t="shared" si="44"/>
        <v>2</v>
      </c>
      <c r="H105" s="13">
        <f t="shared" si="44"/>
        <v>2</v>
      </c>
      <c r="I105" s="13">
        <f t="shared" si="44"/>
        <v>1</v>
      </c>
      <c r="J105" s="13">
        <f t="shared" si="44"/>
        <v>1</v>
      </c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>
        <f t="shared" si="42"/>
        <v>9</v>
      </c>
      <c r="AB105" s="13">
        <f t="shared" si="43"/>
        <v>9</v>
      </c>
    </row>
    <row r="112" spans="2:28" ht="15.75">
      <c r="B112" s="86" t="s">
        <v>44</v>
      </c>
      <c r="C112" s="76" t="s">
        <v>34</v>
      </c>
      <c r="D112" s="76"/>
      <c r="E112" s="76" t="s">
        <v>35</v>
      </c>
      <c r="F112" s="76"/>
      <c r="G112" s="76" t="s">
        <v>24</v>
      </c>
      <c r="H112" s="76"/>
      <c r="I112" s="76" t="s">
        <v>36</v>
      </c>
      <c r="J112" s="76"/>
      <c r="K112" s="76" t="s">
        <v>26</v>
      </c>
      <c r="L112" s="76"/>
      <c r="M112" s="76" t="s">
        <v>27</v>
      </c>
      <c r="N112" s="76"/>
      <c r="O112" s="76" t="s">
        <v>28</v>
      </c>
      <c r="P112" s="76"/>
      <c r="Q112" s="76" t="s">
        <v>37</v>
      </c>
      <c r="R112" s="76"/>
      <c r="S112" s="76" t="s">
        <v>1</v>
      </c>
      <c r="T112" s="76"/>
      <c r="U112" s="76" t="s">
        <v>2</v>
      </c>
      <c r="V112" s="76"/>
      <c r="W112" s="76" t="s">
        <v>3</v>
      </c>
      <c r="X112" s="76"/>
      <c r="Y112" s="76" t="s">
        <v>4</v>
      </c>
      <c r="Z112" s="76"/>
      <c r="AA112" s="76" t="s">
        <v>5</v>
      </c>
      <c r="AB112" s="76"/>
    </row>
    <row r="113" spans="2:28" ht="31.5">
      <c r="B113" s="79"/>
      <c r="C113" s="18" t="s">
        <v>6</v>
      </c>
      <c r="D113" s="18" t="s">
        <v>7</v>
      </c>
      <c r="E113" s="18" t="s">
        <v>6</v>
      </c>
      <c r="F113" s="18" t="s">
        <v>7</v>
      </c>
      <c r="G113" s="18" t="s">
        <v>6</v>
      </c>
      <c r="H113" s="18" t="s">
        <v>7</v>
      </c>
      <c r="I113" s="18" t="s">
        <v>6</v>
      </c>
      <c r="J113" s="18" t="s">
        <v>7</v>
      </c>
      <c r="K113" s="18" t="s">
        <v>6</v>
      </c>
      <c r="L113" s="18" t="s">
        <v>7</v>
      </c>
      <c r="M113" s="18" t="s">
        <v>6</v>
      </c>
      <c r="N113" s="18" t="s">
        <v>7</v>
      </c>
      <c r="O113" s="18" t="s">
        <v>6</v>
      </c>
      <c r="P113" s="18" t="s">
        <v>7</v>
      </c>
      <c r="Q113" s="18" t="s">
        <v>6</v>
      </c>
      <c r="R113" s="18" t="s">
        <v>7</v>
      </c>
      <c r="S113" s="18" t="s">
        <v>6</v>
      </c>
      <c r="T113" s="18" t="s">
        <v>7</v>
      </c>
      <c r="U113" s="18" t="s">
        <v>6</v>
      </c>
      <c r="V113" s="18" t="s">
        <v>7</v>
      </c>
      <c r="W113" s="18" t="s">
        <v>6</v>
      </c>
      <c r="X113" s="18" t="s">
        <v>7</v>
      </c>
      <c r="Y113" s="18" t="s">
        <v>6</v>
      </c>
      <c r="Z113" s="18" t="s">
        <v>7</v>
      </c>
      <c r="AA113" s="18" t="s">
        <v>6</v>
      </c>
      <c r="AB113" s="18" t="s">
        <v>7</v>
      </c>
    </row>
    <row r="114" spans="2:28" ht="15">
      <c r="B114" s="3" t="s">
        <v>8</v>
      </c>
      <c r="C114" s="12">
        <v>16</v>
      </c>
      <c r="D114" s="12">
        <v>16</v>
      </c>
      <c r="E114" s="12">
        <v>22</v>
      </c>
      <c r="F114" s="12">
        <v>26</v>
      </c>
      <c r="G114" s="12">
        <v>9</v>
      </c>
      <c r="H114" s="12">
        <v>9</v>
      </c>
      <c r="I114" s="12">
        <v>19</v>
      </c>
      <c r="J114" s="12">
        <v>19</v>
      </c>
      <c r="K114" s="12">
        <v>15</v>
      </c>
      <c r="L114" s="12">
        <v>15</v>
      </c>
      <c r="M114" s="12">
        <v>48</v>
      </c>
      <c r="N114" s="12">
        <v>48</v>
      </c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4"/>
      <c r="Z114" s="14"/>
      <c r="AA114" s="12">
        <f>+C114+E114+G114+I114+K114+M114+O114+Q114+S114+U114+W114+Y114</f>
        <v>129</v>
      </c>
      <c r="AB114" s="12">
        <f>+D114+F114+H114+J114+L114+N114+P114+R114+T114+V114+X114+Z114</f>
        <v>133</v>
      </c>
    </row>
    <row r="115" spans="2:28" ht="15">
      <c r="B115" s="4" t="s">
        <v>9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4"/>
      <c r="Z115" s="14"/>
      <c r="AA115" s="12">
        <f t="shared" ref="AA115:AA126" si="45">+C115+E115+G115+I115+K115+M115+O115+Q115+S115+U115+W115+Y115</f>
        <v>0</v>
      </c>
      <c r="AB115" s="12">
        <f t="shared" ref="AB115:AB126" si="46">+D115+F115+H115+J115+L115+N115+P115+R115+T115+V115+X115+Z115</f>
        <v>0</v>
      </c>
    </row>
    <row r="116" spans="2:28" ht="15">
      <c r="B116" s="4" t="s">
        <v>10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4"/>
      <c r="Z116" s="14"/>
      <c r="AA116" s="12">
        <f t="shared" si="45"/>
        <v>0</v>
      </c>
      <c r="AB116" s="12">
        <f t="shared" si="46"/>
        <v>0</v>
      </c>
    </row>
    <row r="117" spans="2:28" ht="15">
      <c r="B117" s="4" t="s">
        <v>11</v>
      </c>
      <c r="C117" s="12">
        <v>28</v>
      </c>
      <c r="D117" s="12">
        <v>37</v>
      </c>
      <c r="E117" s="12">
        <v>37</v>
      </c>
      <c r="F117" s="12">
        <v>38</v>
      </c>
      <c r="G117" s="12">
        <v>38</v>
      </c>
      <c r="H117" s="12">
        <v>37</v>
      </c>
      <c r="I117" s="12">
        <v>41</v>
      </c>
      <c r="J117" s="12">
        <v>41</v>
      </c>
      <c r="K117" s="12">
        <v>27</v>
      </c>
      <c r="L117" s="12">
        <v>25</v>
      </c>
      <c r="M117" s="12">
        <v>44</v>
      </c>
      <c r="N117" s="12">
        <v>43</v>
      </c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4"/>
      <c r="Z117" s="14"/>
      <c r="AA117" s="12">
        <f t="shared" si="45"/>
        <v>215</v>
      </c>
      <c r="AB117" s="12">
        <f t="shared" si="46"/>
        <v>221</v>
      </c>
    </row>
    <row r="118" spans="2:28" ht="15">
      <c r="B118" s="4" t="s">
        <v>12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4"/>
      <c r="Z118" s="14"/>
      <c r="AA118" s="12">
        <f t="shared" si="45"/>
        <v>0</v>
      </c>
      <c r="AB118" s="12">
        <f t="shared" si="46"/>
        <v>0</v>
      </c>
    </row>
    <row r="119" spans="2:28" ht="15">
      <c r="B119" s="4" t="s">
        <v>38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4"/>
      <c r="Z119" s="14"/>
      <c r="AA119" s="12">
        <f t="shared" si="45"/>
        <v>0</v>
      </c>
      <c r="AB119" s="12">
        <f t="shared" si="46"/>
        <v>0</v>
      </c>
    </row>
    <row r="120" spans="2:28" ht="15">
      <c r="B120" s="4" t="s">
        <v>39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4"/>
      <c r="Z120" s="14"/>
      <c r="AA120" s="12">
        <f t="shared" si="45"/>
        <v>0</v>
      </c>
      <c r="AB120" s="12">
        <f t="shared" si="46"/>
        <v>0</v>
      </c>
    </row>
    <row r="121" spans="2:28" ht="15">
      <c r="B121" s="4" t="s">
        <v>13</v>
      </c>
      <c r="C121" s="12">
        <v>144</v>
      </c>
      <c r="D121" s="12">
        <v>27</v>
      </c>
      <c r="E121" s="12">
        <v>136</v>
      </c>
      <c r="F121" s="12">
        <v>46</v>
      </c>
      <c r="G121" s="12">
        <v>192</v>
      </c>
      <c r="H121" s="12">
        <v>43</v>
      </c>
      <c r="I121" s="12">
        <v>185</v>
      </c>
      <c r="J121" s="12">
        <v>47</v>
      </c>
      <c r="K121" s="12">
        <v>243</v>
      </c>
      <c r="L121" s="12">
        <v>51</v>
      </c>
      <c r="M121" s="12">
        <v>226</v>
      </c>
      <c r="N121" s="12">
        <v>60</v>
      </c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4"/>
      <c r="Z121" s="14"/>
      <c r="AA121" s="12">
        <f t="shared" si="45"/>
        <v>1126</v>
      </c>
      <c r="AB121" s="12">
        <f t="shared" si="46"/>
        <v>274</v>
      </c>
    </row>
    <row r="122" spans="2:28" ht="15">
      <c r="B122" s="4" t="s">
        <v>14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4"/>
      <c r="Z122" s="14"/>
      <c r="AA122" s="12">
        <f t="shared" si="45"/>
        <v>0</v>
      </c>
      <c r="AB122" s="12">
        <f t="shared" si="46"/>
        <v>0</v>
      </c>
    </row>
    <row r="123" spans="2:28" ht="15">
      <c r="B123" s="4" t="s">
        <v>40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4"/>
      <c r="Z123" s="14"/>
      <c r="AA123" s="12">
        <f t="shared" si="45"/>
        <v>0</v>
      </c>
      <c r="AB123" s="12">
        <f t="shared" si="46"/>
        <v>0</v>
      </c>
    </row>
    <row r="124" spans="2:28" ht="15">
      <c r="B124" s="4" t="s">
        <v>41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4"/>
      <c r="Z124" s="14"/>
      <c r="AA124" s="12">
        <f t="shared" si="45"/>
        <v>0</v>
      </c>
      <c r="AB124" s="12">
        <f t="shared" si="46"/>
        <v>0</v>
      </c>
    </row>
    <row r="125" spans="2:28" ht="15">
      <c r="B125" s="5" t="s">
        <v>15</v>
      </c>
      <c r="C125" s="12">
        <v>152</v>
      </c>
      <c r="D125" s="12">
        <v>13</v>
      </c>
      <c r="E125" s="12">
        <v>329</v>
      </c>
      <c r="F125" s="12">
        <v>19</v>
      </c>
      <c r="G125" s="12">
        <v>322</v>
      </c>
      <c r="H125" s="12">
        <v>21</v>
      </c>
      <c r="I125" s="12">
        <v>83</v>
      </c>
      <c r="J125" s="12">
        <v>14</v>
      </c>
      <c r="K125" s="12">
        <v>363</v>
      </c>
      <c r="L125" s="12">
        <v>24</v>
      </c>
      <c r="M125" s="12">
        <v>465</v>
      </c>
      <c r="N125" s="12">
        <v>27</v>
      </c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4"/>
      <c r="Z125" s="14"/>
      <c r="AA125" s="12">
        <f t="shared" si="45"/>
        <v>1714</v>
      </c>
      <c r="AB125" s="12">
        <f t="shared" si="46"/>
        <v>118</v>
      </c>
    </row>
    <row r="126" spans="2:28" ht="15">
      <c r="B126" s="8" t="s">
        <v>16</v>
      </c>
      <c r="C126" s="13">
        <f t="shared" ref="C126:H126" si="47">SUM(C114:C125)</f>
        <v>340</v>
      </c>
      <c r="D126" s="13">
        <f t="shared" si="47"/>
        <v>93</v>
      </c>
      <c r="E126" s="13">
        <f t="shared" si="47"/>
        <v>524</v>
      </c>
      <c r="F126" s="13">
        <f t="shared" si="47"/>
        <v>129</v>
      </c>
      <c r="G126" s="13">
        <f t="shared" si="47"/>
        <v>561</v>
      </c>
      <c r="H126" s="13">
        <f t="shared" si="47"/>
        <v>110</v>
      </c>
      <c r="I126" s="13">
        <f t="shared" ref="I126:N126" si="48">SUM(I114:I125)</f>
        <v>328</v>
      </c>
      <c r="J126" s="13">
        <f t="shared" si="48"/>
        <v>121</v>
      </c>
      <c r="K126" s="13">
        <f t="shared" si="48"/>
        <v>648</v>
      </c>
      <c r="L126" s="13">
        <f t="shared" si="48"/>
        <v>115</v>
      </c>
      <c r="M126" s="13">
        <f t="shared" si="48"/>
        <v>783</v>
      </c>
      <c r="N126" s="13">
        <f t="shared" si="48"/>
        <v>178</v>
      </c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>
        <f t="shared" si="45"/>
        <v>3184</v>
      </c>
      <c r="AB126" s="13">
        <f t="shared" si="46"/>
        <v>746</v>
      </c>
    </row>
    <row r="127" spans="2:28" ht="15">
      <c r="B127" s="17" t="s">
        <v>42</v>
      </c>
      <c r="C127" s="12">
        <v>1</v>
      </c>
      <c r="D127" s="12">
        <v>16</v>
      </c>
      <c r="E127" s="12">
        <v>1</v>
      </c>
      <c r="F127" s="12">
        <v>22</v>
      </c>
      <c r="G127" s="12">
        <v>1</v>
      </c>
      <c r="H127" s="12">
        <v>9</v>
      </c>
      <c r="I127" s="12">
        <v>1</v>
      </c>
      <c r="J127" s="12">
        <v>19</v>
      </c>
      <c r="K127" s="12">
        <v>1</v>
      </c>
      <c r="L127" s="12">
        <v>15</v>
      </c>
      <c r="M127" s="12">
        <v>1</v>
      </c>
      <c r="N127" s="12">
        <v>22</v>
      </c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4"/>
      <c r="Z127" s="14"/>
      <c r="AA127" s="12">
        <f>+C127+E127+G127+I127+K127+O127+M127+Q127+S127+U127+W127+Y127</f>
        <v>6</v>
      </c>
      <c r="AB127" s="12">
        <f>+D127+F127+H127+J127+L127+N127+P127+R127+T127+V127+X127+Z127</f>
        <v>103</v>
      </c>
    </row>
    <row r="128" spans="2:28" ht="15">
      <c r="B128" s="9" t="s">
        <v>16</v>
      </c>
      <c r="C128" s="13">
        <f t="shared" ref="C128:H128" si="49">SUM(C127)</f>
        <v>1</v>
      </c>
      <c r="D128" s="13">
        <f t="shared" si="49"/>
        <v>16</v>
      </c>
      <c r="E128" s="13">
        <f t="shared" si="49"/>
        <v>1</v>
      </c>
      <c r="F128" s="13">
        <f t="shared" si="49"/>
        <v>22</v>
      </c>
      <c r="G128" s="13">
        <f t="shared" si="49"/>
        <v>1</v>
      </c>
      <c r="H128" s="13">
        <f t="shared" si="49"/>
        <v>9</v>
      </c>
      <c r="I128" s="13">
        <f t="shared" ref="I128:N128" si="50">SUM(I127)</f>
        <v>1</v>
      </c>
      <c r="J128" s="13">
        <f t="shared" si="50"/>
        <v>19</v>
      </c>
      <c r="K128" s="13">
        <f t="shared" si="50"/>
        <v>1</v>
      </c>
      <c r="L128" s="13">
        <f t="shared" si="50"/>
        <v>15</v>
      </c>
      <c r="M128" s="13">
        <f t="shared" si="50"/>
        <v>1</v>
      </c>
      <c r="N128" s="13">
        <f t="shared" si="50"/>
        <v>22</v>
      </c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>
        <f t="shared" ref="AA128" si="51">+C128+E128+G128+I128+K128+O128+M128+Q128+S128+U128+W128+Y128</f>
        <v>6</v>
      </c>
      <c r="AB128" s="13">
        <f t="shared" ref="AB128" si="52">+D128+F128+H128+J128+L128+N128+P128+R128+T128+V128+X128+Z128</f>
        <v>103</v>
      </c>
    </row>
    <row r="129" spans="2:28" ht="15">
      <c r="B129" s="7" t="s">
        <v>43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>
        <v>26</v>
      </c>
      <c r="N129" s="12">
        <v>26</v>
      </c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4"/>
      <c r="Z129" s="14"/>
      <c r="AA129" s="12">
        <f t="shared" ref="AA129:AA130" si="53">+C129+E129+G129+I129+K129+M129+O129+Q129+S129+U129+W129+Y129</f>
        <v>26</v>
      </c>
      <c r="AB129" s="12">
        <f t="shared" ref="AB129:AB130" si="54">+D129+F129+H129+J129+L129+P129+R129+T129+V129+X129+Z129+N129</f>
        <v>26</v>
      </c>
    </row>
    <row r="130" spans="2:28" ht="15">
      <c r="B130" s="10" t="s">
        <v>16</v>
      </c>
      <c r="C130" s="13">
        <f t="shared" ref="C130:J130" si="55">SUM(C129)</f>
        <v>0</v>
      </c>
      <c r="D130" s="13">
        <f t="shared" si="55"/>
        <v>0</v>
      </c>
      <c r="E130" s="13">
        <f t="shared" si="55"/>
        <v>0</v>
      </c>
      <c r="F130" s="13">
        <f t="shared" si="55"/>
        <v>0</v>
      </c>
      <c r="G130" s="13">
        <f t="shared" si="55"/>
        <v>0</v>
      </c>
      <c r="H130" s="13">
        <f t="shared" si="55"/>
        <v>0</v>
      </c>
      <c r="I130" s="13">
        <f t="shared" si="55"/>
        <v>0</v>
      </c>
      <c r="J130" s="13">
        <f t="shared" si="55"/>
        <v>0</v>
      </c>
      <c r="K130" s="13"/>
      <c r="L130" s="13"/>
      <c r="M130" s="13">
        <f>SUM(M129)</f>
        <v>26</v>
      </c>
      <c r="N130" s="13">
        <f>SUM(N129)</f>
        <v>26</v>
      </c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>
        <f t="shared" si="53"/>
        <v>26</v>
      </c>
      <c r="AB130" s="13">
        <f t="shared" si="54"/>
        <v>26</v>
      </c>
    </row>
    <row r="138" spans="2:28" ht="15.75">
      <c r="B138" s="86" t="s">
        <v>45</v>
      </c>
      <c r="C138" s="76" t="s">
        <v>34</v>
      </c>
      <c r="D138" s="76"/>
      <c r="E138" s="76" t="s">
        <v>35</v>
      </c>
      <c r="F138" s="76"/>
      <c r="G138" s="76" t="s">
        <v>24</v>
      </c>
      <c r="H138" s="76"/>
      <c r="I138" s="76" t="s">
        <v>36</v>
      </c>
      <c r="J138" s="76"/>
      <c r="K138" s="76" t="s">
        <v>26</v>
      </c>
      <c r="L138" s="76"/>
      <c r="M138" s="76" t="s">
        <v>27</v>
      </c>
      <c r="N138" s="76"/>
      <c r="O138" s="76" t="s">
        <v>28</v>
      </c>
      <c r="P138" s="76"/>
      <c r="Q138" s="76" t="s">
        <v>37</v>
      </c>
      <c r="R138" s="76"/>
      <c r="S138" s="76" t="s">
        <v>1</v>
      </c>
      <c r="T138" s="76"/>
      <c r="U138" s="76" t="s">
        <v>2</v>
      </c>
      <c r="V138" s="76"/>
      <c r="W138" s="76" t="s">
        <v>3</v>
      </c>
      <c r="X138" s="76"/>
      <c r="Y138" s="76" t="s">
        <v>4</v>
      </c>
      <c r="Z138" s="76"/>
      <c r="AA138" s="76" t="s">
        <v>5</v>
      </c>
      <c r="AB138" s="76"/>
    </row>
    <row r="139" spans="2:28" ht="31.5">
      <c r="B139" s="79"/>
      <c r="C139" s="18" t="s">
        <v>6</v>
      </c>
      <c r="D139" s="18" t="s">
        <v>7</v>
      </c>
      <c r="E139" s="18" t="s">
        <v>6</v>
      </c>
      <c r="F139" s="18" t="s">
        <v>7</v>
      </c>
      <c r="G139" s="18" t="s">
        <v>6</v>
      </c>
      <c r="H139" s="18" t="s">
        <v>7</v>
      </c>
      <c r="I139" s="18" t="s">
        <v>6</v>
      </c>
      <c r="J139" s="18" t="s">
        <v>7</v>
      </c>
      <c r="K139" s="18" t="s">
        <v>6</v>
      </c>
      <c r="L139" s="18" t="s">
        <v>7</v>
      </c>
      <c r="M139" s="18" t="s">
        <v>6</v>
      </c>
      <c r="N139" s="18" t="s">
        <v>7</v>
      </c>
      <c r="O139" s="18" t="s">
        <v>6</v>
      </c>
      <c r="P139" s="18" t="s">
        <v>7</v>
      </c>
      <c r="Q139" s="18" t="s">
        <v>6</v>
      </c>
      <c r="R139" s="18" t="s">
        <v>7</v>
      </c>
      <c r="S139" s="18" t="s">
        <v>6</v>
      </c>
      <c r="T139" s="18" t="s">
        <v>7</v>
      </c>
      <c r="U139" s="18" t="s">
        <v>6</v>
      </c>
      <c r="V139" s="18" t="s">
        <v>7</v>
      </c>
      <c r="W139" s="18" t="s">
        <v>6</v>
      </c>
      <c r="X139" s="18" t="s">
        <v>7</v>
      </c>
      <c r="Y139" s="18" t="s">
        <v>6</v>
      </c>
      <c r="Z139" s="18" t="s">
        <v>7</v>
      </c>
      <c r="AA139" s="18" t="s">
        <v>6</v>
      </c>
      <c r="AB139" s="18" t="s">
        <v>7</v>
      </c>
    </row>
    <row r="140" spans="2:28" ht="15">
      <c r="B140" s="3" t="s">
        <v>8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4"/>
      <c r="Z140" s="14"/>
      <c r="AA140" s="12">
        <f>+C140+E140+G140+I140+K140+M140+O140+Q140+S140+U140+W140+Y140</f>
        <v>0</v>
      </c>
      <c r="AB140" s="12">
        <f>+D140+F140+H140+J140+L140+N140+P140+R140+T140+V140+X140+Z140</f>
        <v>0</v>
      </c>
    </row>
    <row r="141" spans="2:28" ht="15">
      <c r="B141" s="4" t="s">
        <v>9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4"/>
      <c r="Z141" s="14"/>
      <c r="AA141" s="12">
        <f t="shared" ref="AA141:AA152" si="56">+C141+E141+G141+I141+K141+M141+O141+Q141+S141+U141+W141+Y141</f>
        <v>0</v>
      </c>
      <c r="AB141" s="12">
        <f t="shared" ref="AB141:AB152" si="57">+D141+F141+H141+J141+L141+N141+P141+R141+T141+V141+X141+Z141</f>
        <v>0</v>
      </c>
    </row>
    <row r="142" spans="2:28" ht="15">
      <c r="B142" s="4" t="s">
        <v>10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4"/>
      <c r="Z142" s="14"/>
      <c r="AA142" s="12">
        <f t="shared" si="56"/>
        <v>0</v>
      </c>
      <c r="AB142" s="12">
        <f t="shared" si="57"/>
        <v>0</v>
      </c>
    </row>
    <row r="143" spans="2:28" ht="15">
      <c r="B143" s="4" t="s">
        <v>11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4"/>
      <c r="Z143" s="14"/>
      <c r="AA143" s="12">
        <f t="shared" si="56"/>
        <v>0</v>
      </c>
      <c r="AB143" s="12">
        <f t="shared" si="57"/>
        <v>0</v>
      </c>
    </row>
    <row r="144" spans="2:28" ht="15">
      <c r="B144" s="4" t="s">
        <v>12</v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4"/>
      <c r="Z144" s="14"/>
      <c r="AA144" s="12">
        <f t="shared" si="56"/>
        <v>0</v>
      </c>
      <c r="AB144" s="12">
        <f t="shared" si="57"/>
        <v>0</v>
      </c>
    </row>
    <row r="145" spans="2:28" ht="15">
      <c r="B145" s="4" t="s">
        <v>38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4"/>
      <c r="Z145" s="14"/>
      <c r="AA145" s="12">
        <f t="shared" si="56"/>
        <v>0</v>
      </c>
      <c r="AB145" s="12">
        <f t="shared" si="57"/>
        <v>0</v>
      </c>
    </row>
    <row r="146" spans="2:28" ht="15">
      <c r="B146" s="4" t="s">
        <v>39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4"/>
      <c r="Z146" s="14"/>
      <c r="AA146" s="12">
        <f t="shared" si="56"/>
        <v>0</v>
      </c>
      <c r="AB146" s="12">
        <f t="shared" si="57"/>
        <v>0</v>
      </c>
    </row>
    <row r="147" spans="2:28" ht="15">
      <c r="B147" s="4" t="s">
        <v>13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4"/>
      <c r="Z147" s="14"/>
      <c r="AA147" s="12">
        <f t="shared" si="56"/>
        <v>0</v>
      </c>
      <c r="AB147" s="12">
        <f t="shared" si="57"/>
        <v>0</v>
      </c>
    </row>
    <row r="148" spans="2:28" ht="15">
      <c r="B148" s="4" t="s">
        <v>14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4"/>
      <c r="Z148" s="14"/>
      <c r="AA148" s="12">
        <f t="shared" si="56"/>
        <v>0</v>
      </c>
      <c r="AB148" s="12">
        <f t="shared" si="57"/>
        <v>0</v>
      </c>
    </row>
    <row r="149" spans="2:28" ht="15">
      <c r="B149" s="4" t="s">
        <v>40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4"/>
      <c r="Z149" s="14"/>
      <c r="AA149" s="12">
        <f t="shared" si="56"/>
        <v>0</v>
      </c>
      <c r="AB149" s="12">
        <f t="shared" si="57"/>
        <v>0</v>
      </c>
    </row>
    <row r="150" spans="2:28" ht="15">
      <c r="B150" s="4" t="s">
        <v>41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4"/>
      <c r="Z150" s="14"/>
      <c r="AA150" s="12">
        <f t="shared" si="56"/>
        <v>0</v>
      </c>
      <c r="AB150" s="12">
        <f t="shared" si="57"/>
        <v>0</v>
      </c>
    </row>
    <row r="151" spans="2:28" ht="15">
      <c r="B151" s="5" t="s">
        <v>15</v>
      </c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4"/>
      <c r="Z151" s="14"/>
      <c r="AA151" s="12">
        <f t="shared" si="56"/>
        <v>0</v>
      </c>
      <c r="AB151" s="12">
        <f t="shared" si="57"/>
        <v>0</v>
      </c>
    </row>
    <row r="152" spans="2:28" ht="15">
      <c r="B152" s="8" t="s">
        <v>16</v>
      </c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>
        <f t="shared" si="56"/>
        <v>0</v>
      </c>
      <c r="AB152" s="13">
        <f t="shared" si="57"/>
        <v>0</v>
      </c>
    </row>
    <row r="153" spans="2:28" ht="15">
      <c r="B153" s="17" t="s">
        <v>42</v>
      </c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4"/>
      <c r="Z153" s="14"/>
      <c r="AA153" s="12">
        <f>+C153+E153+G153+I153+K153+O153+M153+Q153+S153+U153+W153+Y153</f>
        <v>0</v>
      </c>
      <c r="AB153" s="12">
        <f>+D153+F153+H153+J153+L153+N153+P153+R153+T153+V153+X153+Z153</f>
        <v>0</v>
      </c>
    </row>
    <row r="154" spans="2:28" ht="15">
      <c r="B154" s="9" t="s">
        <v>16</v>
      </c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>
        <f t="shared" ref="AA154" si="58">+C154+E154+G154+I154+K154+O154+M154+Q154+S154+U154+W154+Y154</f>
        <v>0</v>
      </c>
      <c r="AB154" s="13">
        <f t="shared" ref="AB154" si="59">+D154+F154+H154+J154+L154+N154+P154+R154+T154+V154+X154+Z154</f>
        <v>0</v>
      </c>
    </row>
    <row r="155" spans="2:28" ht="15">
      <c r="B155" s="7" t="s">
        <v>43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4"/>
      <c r="Z155" s="14"/>
      <c r="AA155" s="12">
        <f t="shared" ref="AA155:AA156" si="60">+C155+E155+G155+I155+K155+M155+O155+Q155+S155+U155+W155+Y155</f>
        <v>0</v>
      </c>
      <c r="AB155" s="12">
        <f t="shared" ref="AB155:AB156" si="61">+D155+F155+H155+J155+L155+P155+R155+T155+V155+X155+Z155+N155</f>
        <v>0</v>
      </c>
    </row>
    <row r="156" spans="2:28" ht="15">
      <c r="B156" s="10" t="s">
        <v>16</v>
      </c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>
        <f t="shared" si="60"/>
        <v>0</v>
      </c>
      <c r="AB156" s="13">
        <f t="shared" si="61"/>
        <v>0</v>
      </c>
    </row>
    <row r="171" spans="2:9" ht="26.25">
      <c r="B171" s="84" t="s">
        <v>45</v>
      </c>
      <c r="C171" s="88"/>
      <c r="D171" s="89"/>
    </row>
    <row r="172" spans="2:9" ht="26.25">
      <c r="B172" s="87"/>
      <c r="C172" s="23" t="s">
        <v>6</v>
      </c>
      <c r="D172" s="23" t="s">
        <v>7</v>
      </c>
    </row>
    <row r="173" spans="2:9" ht="26.25">
      <c r="B173" s="24" t="s">
        <v>8</v>
      </c>
      <c r="C173" s="25">
        <f>+K4+AA24+AA47+AA67+AA89+AA114</f>
        <v>847</v>
      </c>
      <c r="D173" s="26">
        <f>+L4+AB24+AB47+AB67+AB89+AB114</f>
        <v>840</v>
      </c>
    </row>
    <row r="174" spans="2:9" ht="26.25">
      <c r="B174" s="27" t="s">
        <v>9</v>
      </c>
      <c r="C174" s="25">
        <f t="shared" ref="C174:C176" si="62">+K5+AA25+AA48+AA68+AA90+AA115</f>
        <v>2</v>
      </c>
      <c r="D174" s="26">
        <f t="shared" ref="D174:D176" si="63">+L5+AB25+AB48+AB68+AB90+AB115</f>
        <v>4</v>
      </c>
    </row>
    <row r="175" spans="2:9" ht="26.25">
      <c r="B175" s="27" t="s">
        <v>10</v>
      </c>
      <c r="C175" s="25">
        <f t="shared" si="62"/>
        <v>0</v>
      </c>
      <c r="D175" s="26">
        <f t="shared" si="63"/>
        <v>0</v>
      </c>
      <c r="H175" s="37"/>
      <c r="I175" s="37"/>
    </row>
    <row r="176" spans="2:9" ht="26.25">
      <c r="B176" s="27" t="s">
        <v>11</v>
      </c>
      <c r="C176" s="25">
        <f t="shared" si="62"/>
        <v>1355</v>
      </c>
      <c r="D176" s="26">
        <f t="shared" si="63"/>
        <v>1303</v>
      </c>
      <c r="H176" s="37"/>
      <c r="I176" s="37"/>
    </row>
    <row r="177" spans="2:9" ht="26.25">
      <c r="B177" s="27" t="s">
        <v>12</v>
      </c>
      <c r="C177" s="25"/>
      <c r="D177" s="26"/>
      <c r="H177" s="37"/>
      <c r="I177" s="37"/>
    </row>
    <row r="178" spans="2:9" ht="26.25">
      <c r="B178" s="27" t="s">
        <v>38</v>
      </c>
      <c r="C178" s="25"/>
      <c r="D178" s="26"/>
      <c r="H178" s="37"/>
      <c r="I178" s="37"/>
    </row>
    <row r="179" spans="2:9" ht="26.25">
      <c r="B179" s="27" t="s">
        <v>39</v>
      </c>
      <c r="C179" s="25"/>
      <c r="D179" s="26"/>
      <c r="H179" s="38"/>
      <c r="I179" s="38"/>
    </row>
    <row r="180" spans="2:9" ht="26.25">
      <c r="B180" s="27" t="s">
        <v>13</v>
      </c>
      <c r="C180" s="25">
        <f>+K9+AA29+AA52+AA72+AA96+AA121</f>
        <v>7179</v>
      </c>
      <c r="D180" s="26">
        <f>+L9+AB29+AB52+AB72+AB96+AB121</f>
        <v>2057</v>
      </c>
      <c r="H180" s="38"/>
      <c r="I180" s="38"/>
    </row>
    <row r="181" spans="2:9" ht="26.25">
      <c r="B181" s="27" t="s">
        <v>14</v>
      </c>
      <c r="C181" s="25"/>
      <c r="D181" s="26"/>
    </row>
    <row r="182" spans="2:9" ht="26.25">
      <c r="B182" s="27" t="s">
        <v>40</v>
      </c>
      <c r="C182" s="25"/>
      <c r="D182" s="26"/>
    </row>
    <row r="183" spans="2:9" ht="26.25">
      <c r="B183" s="27" t="s">
        <v>41</v>
      </c>
      <c r="C183" s="25"/>
      <c r="D183" s="26"/>
    </row>
    <row r="184" spans="2:9" ht="26.25">
      <c r="B184" s="28" t="s">
        <v>15</v>
      </c>
      <c r="C184" s="25">
        <f>+K11+AA31+AA54+AA74+AA100+AA125</f>
        <v>12621</v>
      </c>
      <c r="D184" s="26">
        <f>+L11+AB31+AB54+AB74+AB100+AB125</f>
        <v>752</v>
      </c>
    </row>
    <row r="185" spans="2:9" ht="26.25">
      <c r="B185" s="29" t="s">
        <v>16</v>
      </c>
      <c r="C185" s="30">
        <f>SUM(C173:C184)</f>
        <v>22004</v>
      </c>
      <c r="D185" s="31">
        <f>SUM(D173:D184)</f>
        <v>4956</v>
      </c>
    </row>
    <row r="186" spans="2:9" ht="26.25">
      <c r="B186" s="32" t="s">
        <v>17</v>
      </c>
      <c r="C186" s="25">
        <f>+K13+AA33+AA56+AA76+AA102+AA127</f>
        <v>42</v>
      </c>
      <c r="D186" s="26">
        <f>+L15+AB33+AB56+AB76+AB102+AB127</f>
        <v>572</v>
      </c>
    </row>
    <row r="187" spans="2:9" ht="26.25">
      <c r="B187" s="33" t="s">
        <v>16</v>
      </c>
      <c r="C187" s="30">
        <f>SUM(C186)</f>
        <v>42</v>
      </c>
      <c r="D187" s="31">
        <f>SUM(D186)</f>
        <v>572</v>
      </c>
    </row>
    <row r="188" spans="2:9" ht="26.25">
      <c r="B188" s="34" t="s">
        <v>43</v>
      </c>
      <c r="C188" s="25">
        <f>+K15+K18+AA35+AA38+AA58+AA62+AA78+AA81+AA82+AA104+AA129+AA61</f>
        <v>195</v>
      </c>
      <c r="D188" s="26">
        <f>+L18+AB35+AB38+AB58+AB61+AB62+AB78+AB81+AB82+AB104+AB129</f>
        <v>205</v>
      </c>
    </row>
    <row r="189" spans="2:9" ht="26.25">
      <c r="B189" s="34" t="s">
        <v>31</v>
      </c>
      <c r="C189" s="50"/>
      <c r="D189" s="51"/>
    </row>
    <row r="190" spans="2:9" ht="25.5">
      <c r="B190" s="35" t="s">
        <v>16</v>
      </c>
      <c r="C190" s="36">
        <f>SUM(C188:C189)</f>
        <v>195</v>
      </c>
      <c r="D190" s="36">
        <f>SUM(D188:D189)</f>
        <v>205</v>
      </c>
    </row>
  </sheetData>
  <mergeCells count="97">
    <mergeCell ref="B2:B3"/>
    <mergeCell ref="C2:D2"/>
    <mergeCell ref="E2:F2"/>
    <mergeCell ref="G2:H2"/>
    <mergeCell ref="I2:J2"/>
    <mergeCell ref="K2:L2"/>
    <mergeCell ref="B20:D20"/>
    <mergeCell ref="AA45:AB45"/>
    <mergeCell ref="B22:B23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I45:J45"/>
    <mergeCell ref="K45:L45"/>
    <mergeCell ref="M45:N45"/>
    <mergeCell ref="O45:P45"/>
    <mergeCell ref="AA22:AB22"/>
    <mergeCell ref="Q45:R45"/>
    <mergeCell ref="S45:T45"/>
    <mergeCell ref="U45:V45"/>
    <mergeCell ref="W45:X45"/>
    <mergeCell ref="Y45:Z45"/>
    <mergeCell ref="B21:D21"/>
    <mergeCell ref="Y65:Z65"/>
    <mergeCell ref="AA65:AB65"/>
    <mergeCell ref="M65:N65"/>
    <mergeCell ref="O65:P65"/>
    <mergeCell ref="Q65:R65"/>
    <mergeCell ref="B65:B66"/>
    <mergeCell ref="C65:D65"/>
    <mergeCell ref="E65:F65"/>
    <mergeCell ref="B45:B46"/>
    <mergeCell ref="C45:D45"/>
    <mergeCell ref="E45:F45"/>
    <mergeCell ref="B40:D40"/>
    <mergeCell ref="B42:D42"/>
    <mergeCell ref="B44:D44"/>
    <mergeCell ref="G45:H45"/>
    <mergeCell ref="W87:X87"/>
    <mergeCell ref="I65:J65"/>
    <mergeCell ref="K65:L65"/>
    <mergeCell ref="B87:B88"/>
    <mergeCell ref="C87:D87"/>
    <mergeCell ref="E87:F87"/>
    <mergeCell ref="G87:H87"/>
    <mergeCell ref="I87:J87"/>
    <mergeCell ref="K87:L87"/>
    <mergeCell ref="G65:H65"/>
    <mergeCell ref="S65:T65"/>
    <mergeCell ref="U65:V65"/>
    <mergeCell ref="W65:X65"/>
    <mergeCell ref="AA112:AB112"/>
    <mergeCell ref="Y87:Z87"/>
    <mergeCell ref="AA87:AB87"/>
    <mergeCell ref="B112:B113"/>
    <mergeCell ref="C112:D112"/>
    <mergeCell ref="E112:F112"/>
    <mergeCell ref="G112:H112"/>
    <mergeCell ref="I112:J112"/>
    <mergeCell ref="K112:L112"/>
    <mergeCell ref="M112:N112"/>
    <mergeCell ref="O112:P112"/>
    <mergeCell ref="M87:N87"/>
    <mergeCell ref="O87:P87"/>
    <mergeCell ref="Q87:R87"/>
    <mergeCell ref="S87:T87"/>
    <mergeCell ref="U87:V87"/>
    <mergeCell ref="Q112:R112"/>
    <mergeCell ref="S112:T112"/>
    <mergeCell ref="U112:V112"/>
    <mergeCell ref="W112:X112"/>
    <mergeCell ref="Y112:Z112"/>
    <mergeCell ref="Y138:Z138"/>
    <mergeCell ref="AA138:AB138"/>
    <mergeCell ref="B171:B172"/>
    <mergeCell ref="C171:D171"/>
    <mergeCell ref="M138:N138"/>
    <mergeCell ref="O138:P138"/>
    <mergeCell ref="Q138:R138"/>
    <mergeCell ref="S138:T138"/>
    <mergeCell ref="U138:V138"/>
    <mergeCell ref="W138:X138"/>
    <mergeCell ref="B138:B139"/>
    <mergeCell ref="C138:D138"/>
    <mergeCell ref="E138:F138"/>
    <mergeCell ref="G138:H138"/>
    <mergeCell ref="I138:J138"/>
    <mergeCell ref="K138:L1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177"/>
  <sheetViews>
    <sheetView topLeftCell="E103" workbookViewId="0">
      <selection activeCell="Q118" sqref="Q118"/>
    </sheetView>
  </sheetViews>
  <sheetFormatPr baseColWidth="10" defaultColWidth="11.42578125" defaultRowHeight="12.75"/>
  <cols>
    <col min="1" max="1" width="7.28515625" style="1" customWidth="1"/>
    <col min="2" max="2" width="70.7109375" style="1" customWidth="1"/>
    <col min="3" max="3" width="20.140625" style="1" customWidth="1"/>
    <col min="4" max="4" width="28.140625" style="1" customWidth="1"/>
    <col min="5" max="5" width="11.42578125" style="1"/>
    <col min="6" max="6" width="18.85546875" style="1" customWidth="1"/>
    <col min="7" max="7" width="11.42578125" style="1"/>
    <col min="8" max="8" width="18.140625" style="1" customWidth="1"/>
    <col min="9" max="9" width="11.42578125" style="1"/>
    <col min="10" max="10" width="19.5703125" style="1" customWidth="1"/>
    <col min="11" max="11" width="18.7109375" style="1" customWidth="1"/>
    <col min="12" max="12" width="17.7109375" style="1" customWidth="1"/>
    <col min="13" max="13" width="11.42578125" style="1"/>
    <col min="14" max="14" width="20.85546875" style="1" customWidth="1"/>
    <col min="15" max="15" width="16.28515625" style="1" customWidth="1"/>
    <col min="16" max="26" width="11.42578125" style="1"/>
    <col min="27" max="27" width="15.7109375" style="1" customWidth="1"/>
    <col min="28" max="28" width="18.42578125" style="1" customWidth="1"/>
    <col min="29" max="16384" width="11.42578125" style="1"/>
  </cols>
  <sheetData>
    <row r="2" spans="2:15" ht="15.75" customHeight="1"/>
    <row r="3" spans="2:15" ht="18" customHeight="1">
      <c r="B3" s="77"/>
      <c r="C3" s="77"/>
      <c r="D3" s="77"/>
    </row>
    <row r="5" spans="2:15" ht="15.75" customHeight="1">
      <c r="B5" s="79" t="s">
        <v>0</v>
      </c>
      <c r="C5" s="81" t="s">
        <v>49</v>
      </c>
      <c r="D5" s="82"/>
      <c r="E5" s="81" t="s">
        <v>2</v>
      </c>
      <c r="F5" s="82"/>
      <c r="G5" s="81" t="s">
        <v>3</v>
      </c>
      <c r="H5" s="82"/>
      <c r="I5" s="81" t="s">
        <v>4</v>
      </c>
      <c r="J5" s="82"/>
      <c r="K5" s="81" t="s">
        <v>5</v>
      </c>
      <c r="L5" s="82"/>
    </row>
    <row r="6" spans="2:15" s="2" customFormat="1" ht="15.75">
      <c r="B6" s="80"/>
      <c r="C6" s="18" t="s">
        <v>6</v>
      </c>
      <c r="D6" s="18" t="s">
        <v>7</v>
      </c>
      <c r="E6" s="18" t="s">
        <v>6</v>
      </c>
      <c r="F6" s="18" t="s">
        <v>7</v>
      </c>
      <c r="G6" s="18" t="s">
        <v>6</v>
      </c>
      <c r="H6" s="18" t="s">
        <v>7</v>
      </c>
      <c r="I6" s="18" t="s">
        <v>6</v>
      </c>
      <c r="J6" s="18" t="s">
        <v>7</v>
      </c>
      <c r="K6" s="19" t="s">
        <v>6</v>
      </c>
      <c r="L6" s="19" t="s">
        <v>7</v>
      </c>
    </row>
    <row r="7" spans="2:15" ht="20.25" customHeight="1">
      <c r="B7" s="39" t="s">
        <v>8</v>
      </c>
      <c r="C7" s="14"/>
      <c r="D7" s="14"/>
      <c r="E7" s="12"/>
      <c r="F7" s="12"/>
      <c r="G7" s="12"/>
      <c r="H7" s="12"/>
      <c r="I7" s="12">
        <v>3</v>
      </c>
      <c r="J7" s="12">
        <v>3</v>
      </c>
      <c r="K7" s="14">
        <f>+C7+E7+G7+I7</f>
        <v>3</v>
      </c>
      <c r="L7" s="14">
        <f>+D7+F7+H7+J7</f>
        <v>3</v>
      </c>
    </row>
    <row r="8" spans="2:15" ht="20.25" customHeight="1">
      <c r="B8" s="40" t="s">
        <v>9</v>
      </c>
      <c r="C8" s="14"/>
      <c r="D8" s="14"/>
      <c r="E8" s="12"/>
      <c r="F8" s="12"/>
      <c r="G8" s="12"/>
      <c r="H8" s="12"/>
      <c r="I8" s="12"/>
      <c r="J8" s="12"/>
      <c r="K8" s="14">
        <f t="shared" ref="K8:K14" si="0">+C8+E8+G8+I8</f>
        <v>0</v>
      </c>
      <c r="L8" s="14">
        <f t="shared" ref="L8:L14" si="1">+D8+F8+H8+J8</f>
        <v>0</v>
      </c>
    </row>
    <row r="9" spans="2:15" ht="20.25" customHeight="1">
      <c r="B9" s="40" t="s">
        <v>10</v>
      </c>
      <c r="C9" s="14"/>
      <c r="D9" s="14"/>
      <c r="E9" s="12"/>
      <c r="F9" s="12"/>
      <c r="G9" s="12"/>
      <c r="H9" s="12"/>
      <c r="I9" s="12"/>
      <c r="J9" s="12"/>
      <c r="K9" s="14">
        <f t="shared" si="0"/>
        <v>0</v>
      </c>
      <c r="L9" s="14">
        <f t="shared" si="1"/>
        <v>0</v>
      </c>
      <c r="N9" s="1">
        <v>5660</v>
      </c>
      <c r="O9" s="1">
        <v>1939</v>
      </c>
    </row>
    <row r="10" spans="2:15" ht="20.25" customHeight="1">
      <c r="B10" s="40" t="s">
        <v>11</v>
      </c>
      <c r="C10" s="14"/>
      <c r="D10" s="14"/>
      <c r="E10" s="12"/>
      <c r="F10" s="12"/>
      <c r="G10" s="12"/>
      <c r="H10" s="12"/>
      <c r="I10" s="12"/>
      <c r="J10" s="12"/>
      <c r="K10" s="14">
        <f t="shared" si="0"/>
        <v>0</v>
      </c>
      <c r="L10" s="14">
        <f t="shared" si="1"/>
        <v>0</v>
      </c>
    </row>
    <row r="11" spans="2:15" ht="15">
      <c r="B11" s="40" t="s">
        <v>12</v>
      </c>
      <c r="C11" s="14"/>
      <c r="D11" s="14"/>
      <c r="E11" s="12"/>
      <c r="F11" s="12"/>
      <c r="G11" s="12"/>
      <c r="H11" s="12"/>
      <c r="I11" s="12">
        <v>6</v>
      </c>
      <c r="J11" s="12">
        <v>6</v>
      </c>
      <c r="K11" s="14">
        <f t="shared" si="0"/>
        <v>6</v>
      </c>
      <c r="L11" s="14">
        <f t="shared" si="1"/>
        <v>6</v>
      </c>
      <c r="N11" s="1">
        <f>+K15+AA36+AA57+AA79+AA104+AA127</f>
        <v>5899</v>
      </c>
      <c r="O11" s="1">
        <f>+L15+AB36+AB57+AB79+AB104+AB127</f>
        <v>2538</v>
      </c>
    </row>
    <row r="12" spans="2:15" ht="20.25" customHeight="1">
      <c r="B12" s="40" t="s">
        <v>13</v>
      </c>
      <c r="C12" s="14"/>
      <c r="D12" s="14"/>
      <c r="E12" s="12"/>
      <c r="F12" s="12"/>
      <c r="G12" s="12"/>
      <c r="H12" s="12"/>
      <c r="I12" s="12"/>
      <c r="J12" s="12"/>
      <c r="K12" s="14">
        <f t="shared" si="0"/>
        <v>0</v>
      </c>
      <c r="L12" s="14">
        <f t="shared" si="1"/>
        <v>0</v>
      </c>
    </row>
    <row r="13" spans="2:15" ht="20.25" customHeight="1">
      <c r="B13" s="40" t="s">
        <v>14</v>
      </c>
      <c r="C13" s="14"/>
      <c r="D13" s="14"/>
      <c r="E13" s="12"/>
      <c r="F13" s="12"/>
      <c r="G13" s="12"/>
      <c r="H13" s="12"/>
      <c r="I13" s="12">
        <v>19</v>
      </c>
      <c r="J13" s="12">
        <v>6</v>
      </c>
      <c r="K13" s="14">
        <f t="shared" si="0"/>
        <v>19</v>
      </c>
      <c r="L13" s="14">
        <f t="shared" si="1"/>
        <v>6</v>
      </c>
    </row>
    <row r="14" spans="2:15" ht="15">
      <c r="B14" s="41" t="s">
        <v>15</v>
      </c>
      <c r="C14" s="14"/>
      <c r="D14" s="14"/>
      <c r="E14" s="12"/>
      <c r="F14" s="12"/>
      <c r="G14" s="12"/>
      <c r="H14" s="12"/>
      <c r="I14" s="12"/>
      <c r="J14" s="12"/>
      <c r="K14" s="14">
        <f t="shared" si="0"/>
        <v>0</v>
      </c>
      <c r="L14" s="14">
        <f t="shared" si="1"/>
        <v>0</v>
      </c>
    </row>
    <row r="15" spans="2:15" ht="15">
      <c r="B15" s="42" t="s">
        <v>16</v>
      </c>
      <c r="C15" s="13"/>
      <c r="D15" s="13"/>
      <c r="E15" s="13"/>
      <c r="F15" s="13"/>
      <c r="G15" s="13"/>
      <c r="H15" s="13"/>
      <c r="I15" s="13">
        <f>SUM(I7:I14)</f>
        <v>28</v>
      </c>
      <c r="J15" s="13">
        <f>SUM(J7:J14)</f>
        <v>15</v>
      </c>
      <c r="K15" s="13">
        <f>SUM(K7:K14)</f>
        <v>28</v>
      </c>
      <c r="L15" s="13">
        <f>SUM(L7:L14)</f>
        <v>15</v>
      </c>
    </row>
    <row r="16" spans="2:15" ht="15">
      <c r="B16" s="43" t="s">
        <v>17</v>
      </c>
      <c r="C16" s="14"/>
      <c r="D16" s="14"/>
      <c r="E16" s="12"/>
      <c r="F16" s="12"/>
      <c r="G16" s="12"/>
      <c r="H16" s="12"/>
      <c r="I16" s="12"/>
      <c r="J16" s="12"/>
      <c r="K16" s="14"/>
      <c r="L16" s="14"/>
    </row>
    <row r="17" spans="2:28" ht="15">
      <c r="B17" s="44" t="s">
        <v>16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</row>
    <row r="18" spans="2:28" ht="15">
      <c r="B18" s="45" t="s">
        <v>18</v>
      </c>
      <c r="C18" s="14"/>
      <c r="D18" s="14"/>
      <c r="E18" s="12"/>
      <c r="F18" s="12"/>
      <c r="G18" s="12"/>
      <c r="H18" s="12"/>
      <c r="I18" s="12"/>
      <c r="J18" s="12"/>
      <c r="K18" s="15"/>
      <c r="L18" s="15"/>
    </row>
    <row r="19" spans="2:28" ht="37.5" customHeight="1">
      <c r="B19" s="46" t="s">
        <v>16</v>
      </c>
      <c r="C19" s="13"/>
      <c r="D19" s="13"/>
      <c r="E19" s="13"/>
      <c r="F19" s="13"/>
      <c r="G19" s="13"/>
      <c r="H19" s="13"/>
      <c r="I19" s="13"/>
      <c r="J19" s="13"/>
      <c r="K19" s="16"/>
      <c r="L19" s="16"/>
    </row>
    <row r="20" spans="2:28" ht="15">
      <c r="B20" s="47" t="s">
        <v>19</v>
      </c>
      <c r="C20" s="14"/>
      <c r="D20" s="14"/>
      <c r="E20" s="14"/>
      <c r="F20" s="14"/>
      <c r="G20" s="14"/>
      <c r="H20" s="14"/>
      <c r="I20" s="14"/>
      <c r="J20" s="14"/>
      <c r="K20" s="12"/>
      <c r="L20" s="12"/>
    </row>
    <row r="21" spans="2:28" ht="15">
      <c r="B21" s="48" t="s">
        <v>20</v>
      </c>
      <c r="C21" s="14"/>
      <c r="D21" s="14"/>
      <c r="E21" s="14"/>
      <c r="F21" s="14"/>
      <c r="G21" s="14"/>
      <c r="H21" s="14"/>
      <c r="I21" s="14"/>
      <c r="J21" s="14"/>
      <c r="K21" s="12"/>
      <c r="L21" s="12"/>
    </row>
    <row r="22" spans="2:28" ht="15">
      <c r="B22" s="46" t="s">
        <v>16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4" spans="2:28" ht="15.75" customHeight="1"/>
    <row r="25" spans="2:28" ht="18" customHeight="1">
      <c r="B25" s="90"/>
      <c r="C25" s="90"/>
      <c r="D25" s="90"/>
    </row>
    <row r="26" spans="2:28" ht="15.75" customHeight="1">
      <c r="B26" s="79" t="s">
        <v>21</v>
      </c>
      <c r="C26" s="81" t="s">
        <v>47</v>
      </c>
      <c r="D26" s="82"/>
      <c r="E26" s="81" t="s">
        <v>50</v>
      </c>
      <c r="F26" s="82"/>
      <c r="G26" s="81" t="s">
        <v>51</v>
      </c>
      <c r="H26" s="82"/>
      <c r="I26" s="81" t="s">
        <v>52</v>
      </c>
      <c r="J26" s="82"/>
      <c r="K26" s="81" t="s">
        <v>53</v>
      </c>
      <c r="L26" s="82"/>
      <c r="M26" s="81" t="s">
        <v>54</v>
      </c>
      <c r="N26" s="82"/>
      <c r="O26" s="81" t="s">
        <v>55</v>
      </c>
      <c r="P26" s="82"/>
      <c r="Q26" s="81" t="s">
        <v>56</v>
      </c>
      <c r="R26" s="82"/>
      <c r="S26" s="81" t="s">
        <v>49</v>
      </c>
      <c r="T26" s="82"/>
      <c r="U26" s="81" t="s">
        <v>2</v>
      </c>
      <c r="V26" s="82"/>
      <c r="W26" s="81" t="s">
        <v>3</v>
      </c>
      <c r="X26" s="82"/>
      <c r="Y26" s="81" t="s">
        <v>4</v>
      </c>
      <c r="Z26" s="82"/>
      <c r="AA26" s="81" t="s">
        <v>5</v>
      </c>
      <c r="AB26" s="82"/>
    </row>
    <row r="27" spans="2:28" s="2" customFormat="1" ht="31.5">
      <c r="B27" s="80"/>
      <c r="C27" s="18" t="s">
        <v>6</v>
      </c>
      <c r="D27" s="18" t="s">
        <v>7</v>
      </c>
      <c r="E27" s="18" t="s">
        <v>6</v>
      </c>
      <c r="F27" s="18" t="s">
        <v>7</v>
      </c>
      <c r="G27" s="18" t="s">
        <v>6</v>
      </c>
      <c r="H27" s="18" t="s">
        <v>7</v>
      </c>
      <c r="I27" s="18" t="s">
        <v>6</v>
      </c>
      <c r="J27" s="18" t="s">
        <v>7</v>
      </c>
      <c r="K27" s="18" t="s">
        <v>6</v>
      </c>
      <c r="L27" s="18" t="s">
        <v>7</v>
      </c>
      <c r="M27" s="18" t="s">
        <v>6</v>
      </c>
      <c r="N27" s="18" t="s">
        <v>7</v>
      </c>
      <c r="O27" s="18" t="s">
        <v>6</v>
      </c>
      <c r="P27" s="18" t="s">
        <v>7</v>
      </c>
      <c r="Q27" s="18" t="s">
        <v>6</v>
      </c>
      <c r="R27" s="18" t="s">
        <v>7</v>
      </c>
      <c r="S27" s="18" t="s">
        <v>6</v>
      </c>
      <c r="T27" s="18" t="s">
        <v>7</v>
      </c>
      <c r="U27" s="18" t="s">
        <v>6</v>
      </c>
      <c r="V27" s="18" t="s">
        <v>7</v>
      </c>
      <c r="W27" s="18" t="s">
        <v>6</v>
      </c>
      <c r="X27" s="18" t="s">
        <v>7</v>
      </c>
      <c r="Y27" s="18" t="s">
        <v>6</v>
      </c>
      <c r="Z27" s="18" t="s">
        <v>7</v>
      </c>
      <c r="AA27" s="19" t="s">
        <v>6</v>
      </c>
      <c r="AB27" s="19" t="s">
        <v>7</v>
      </c>
    </row>
    <row r="28" spans="2:28" ht="20.25" customHeight="1">
      <c r="B28" s="39" t="s">
        <v>8</v>
      </c>
      <c r="C28" s="14">
        <v>5</v>
      </c>
      <c r="D28" s="14">
        <v>5</v>
      </c>
      <c r="E28" s="14">
        <v>3</v>
      </c>
      <c r="F28" s="14">
        <v>3</v>
      </c>
      <c r="G28" s="14">
        <v>7</v>
      </c>
      <c r="H28" s="14">
        <v>7</v>
      </c>
      <c r="I28" s="14">
        <v>20</v>
      </c>
      <c r="J28" s="14">
        <v>20</v>
      </c>
      <c r="K28" s="14">
        <v>27</v>
      </c>
      <c r="L28" s="14">
        <v>27</v>
      </c>
      <c r="M28" s="14">
        <v>19</v>
      </c>
      <c r="N28" s="14">
        <v>19</v>
      </c>
      <c r="O28" s="14">
        <v>5</v>
      </c>
      <c r="P28" s="14">
        <v>5</v>
      </c>
      <c r="Q28" s="14">
        <v>13</v>
      </c>
      <c r="R28" s="14">
        <v>13</v>
      </c>
      <c r="S28" s="14">
        <v>22</v>
      </c>
      <c r="T28" s="14">
        <v>22</v>
      </c>
      <c r="U28" s="12">
        <v>5</v>
      </c>
      <c r="V28" s="12">
        <v>5</v>
      </c>
      <c r="W28" s="12">
        <v>9</v>
      </c>
      <c r="X28" s="12">
        <v>9</v>
      </c>
      <c r="Y28" s="12"/>
      <c r="Z28" s="12"/>
      <c r="AA28" s="14">
        <f>+C28+E28+I28+K28+M28+O28+Q28+S28+U28+Y28</f>
        <v>119</v>
      </c>
      <c r="AB28" s="14">
        <f>+D28+F28+H28+J28+N28+L28+R28+T28+V28+X28+Z28</f>
        <v>130</v>
      </c>
    </row>
    <row r="29" spans="2:28" ht="20.25" customHeight="1">
      <c r="B29" s="40" t="s">
        <v>9</v>
      </c>
      <c r="C29" s="14"/>
      <c r="D29" s="14"/>
      <c r="E29" s="14">
        <v>2</v>
      </c>
      <c r="F29" s="14">
        <v>4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2"/>
      <c r="V29" s="12"/>
      <c r="W29" s="12"/>
      <c r="X29" s="12"/>
      <c r="Y29" s="12"/>
      <c r="Z29" s="12"/>
      <c r="AA29" s="14">
        <f t="shared" ref="AA29:AA36" si="2">+C29+E29+I29+K29+M29+O29+Q29+S29+U29+Y29</f>
        <v>2</v>
      </c>
      <c r="AB29" s="14">
        <f t="shared" ref="AB29:AB35" si="3">+D29+F29+H29+J29+N29+L29+R29+T29+V29+X29+Z29</f>
        <v>4</v>
      </c>
    </row>
    <row r="30" spans="2:28" ht="20.25" customHeight="1">
      <c r="B30" s="40" t="s">
        <v>10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2"/>
      <c r="V30" s="12"/>
      <c r="W30" s="12"/>
      <c r="X30" s="12"/>
      <c r="Y30" s="12"/>
      <c r="Z30" s="12"/>
      <c r="AA30" s="14">
        <f t="shared" si="2"/>
        <v>0</v>
      </c>
      <c r="AB30" s="14">
        <f t="shared" si="3"/>
        <v>0</v>
      </c>
    </row>
    <row r="31" spans="2:28" ht="20.25" customHeight="1">
      <c r="B31" s="40" t="s">
        <v>11</v>
      </c>
      <c r="C31" s="14">
        <v>17</v>
      </c>
      <c r="D31" s="14">
        <v>17</v>
      </c>
      <c r="E31" s="14">
        <v>24</v>
      </c>
      <c r="F31" s="14">
        <v>24</v>
      </c>
      <c r="G31" s="14">
        <v>42</v>
      </c>
      <c r="H31" s="14">
        <v>40</v>
      </c>
      <c r="I31" s="14">
        <v>22</v>
      </c>
      <c r="J31" s="14">
        <v>22</v>
      </c>
      <c r="K31" s="14">
        <v>26</v>
      </c>
      <c r="L31" s="14">
        <v>26</v>
      </c>
      <c r="M31" s="14">
        <v>25</v>
      </c>
      <c r="N31" s="14">
        <v>25</v>
      </c>
      <c r="O31" s="14">
        <v>7</v>
      </c>
      <c r="P31" s="14">
        <v>7</v>
      </c>
      <c r="Q31" s="14">
        <v>14</v>
      </c>
      <c r="R31" s="14">
        <v>14</v>
      </c>
      <c r="S31" s="14">
        <v>24</v>
      </c>
      <c r="T31" s="14">
        <v>24</v>
      </c>
      <c r="U31" s="12">
        <v>14</v>
      </c>
      <c r="V31" s="12">
        <v>14</v>
      </c>
      <c r="W31" s="12">
        <v>16</v>
      </c>
      <c r="X31" s="12">
        <v>16</v>
      </c>
      <c r="Y31" s="12"/>
      <c r="Z31" s="12"/>
      <c r="AA31" s="14">
        <f t="shared" si="2"/>
        <v>173</v>
      </c>
      <c r="AB31" s="14">
        <f t="shared" si="3"/>
        <v>222</v>
      </c>
    </row>
    <row r="32" spans="2:28" ht="15">
      <c r="B32" s="40" t="s">
        <v>12</v>
      </c>
      <c r="C32" s="14">
        <v>4</v>
      </c>
      <c r="D32" s="14">
        <v>4</v>
      </c>
      <c r="E32" s="14">
        <v>14</v>
      </c>
      <c r="F32" s="14">
        <v>13</v>
      </c>
      <c r="G32" s="14">
        <v>10</v>
      </c>
      <c r="H32" s="14">
        <v>9</v>
      </c>
      <c r="I32" s="14">
        <v>66</v>
      </c>
      <c r="J32" s="14">
        <v>6</v>
      </c>
      <c r="K32" s="14">
        <v>33</v>
      </c>
      <c r="L32" s="14">
        <v>33</v>
      </c>
      <c r="M32" s="14">
        <v>3</v>
      </c>
      <c r="N32" s="14">
        <v>3</v>
      </c>
      <c r="O32" s="14">
        <v>1</v>
      </c>
      <c r="P32" s="14">
        <v>1</v>
      </c>
      <c r="Q32" s="14">
        <v>4</v>
      </c>
      <c r="R32" s="14">
        <v>4</v>
      </c>
      <c r="S32" s="14">
        <v>2</v>
      </c>
      <c r="T32" s="14">
        <v>2</v>
      </c>
      <c r="U32" s="12">
        <v>5</v>
      </c>
      <c r="V32" s="12">
        <v>5</v>
      </c>
      <c r="W32" s="12">
        <v>2</v>
      </c>
      <c r="X32" s="12">
        <v>2</v>
      </c>
      <c r="Y32" s="12"/>
      <c r="Z32" s="12"/>
      <c r="AA32" s="14">
        <f t="shared" si="2"/>
        <v>132</v>
      </c>
      <c r="AB32" s="14">
        <f t="shared" si="3"/>
        <v>81</v>
      </c>
    </row>
    <row r="33" spans="2:28" ht="20.25" customHeight="1">
      <c r="B33" s="40" t="s">
        <v>13</v>
      </c>
      <c r="C33" s="14">
        <v>15</v>
      </c>
      <c r="D33" s="14">
        <v>15</v>
      </c>
      <c r="E33" s="14">
        <v>87</v>
      </c>
      <c r="F33" s="14">
        <v>21</v>
      </c>
      <c r="G33" s="14">
        <v>103</v>
      </c>
      <c r="H33" s="14">
        <v>26</v>
      </c>
      <c r="I33" s="14">
        <v>98</v>
      </c>
      <c r="J33" s="14">
        <v>27</v>
      </c>
      <c r="K33" s="14">
        <v>64</v>
      </c>
      <c r="L33" s="14">
        <v>26</v>
      </c>
      <c r="M33" s="14">
        <v>109</v>
      </c>
      <c r="N33" s="14">
        <v>27</v>
      </c>
      <c r="O33" s="14">
        <v>61</v>
      </c>
      <c r="P33" s="14">
        <v>21</v>
      </c>
      <c r="Q33" s="14">
        <v>79</v>
      </c>
      <c r="R33" s="14">
        <v>18</v>
      </c>
      <c r="S33" s="14">
        <v>94</v>
      </c>
      <c r="T33" s="14">
        <v>23</v>
      </c>
      <c r="U33" s="12">
        <v>72</v>
      </c>
      <c r="V33" s="12">
        <v>16</v>
      </c>
      <c r="W33" s="12">
        <v>65</v>
      </c>
      <c r="X33" s="12">
        <v>27</v>
      </c>
      <c r="Y33" s="12"/>
      <c r="Z33" s="12"/>
      <c r="AA33" s="14">
        <f t="shared" si="2"/>
        <v>679</v>
      </c>
      <c r="AB33" s="14">
        <f t="shared" si="3"/>
        <v>226</v>
      </c>
    </row>
    <row r="34" spans="2:28" ht="20.25" customHeight="1">
      <c r="B34" s="40" t="s">
        <v>14</v>
      </c>
      <c r="C34" s="14">
        <v>45</v>
      </c>
      <c r="D34" s="14">
        <v>45</v>
      </c>
      <c r="E34" s="14">
        <v>67</v>
      </c>
      <c r="F34" s="14">
        <v>12</v>
      </c>
      <c r="G34" s="14">
        <v>60</v>
      </c>
      <c r="H34" s="14">
        <v>13</v>
      </c>
      <c r="I34" s="14">
        <v>63</v>
      </c>
      <c r="J34" s="14">
        <v>7</v>
      </c>
      <c r="K34" s="14">
        <v>44</v>
      </c>
      <c r="L34" s="14">
        <v>11</v>
      </c>
      <c r="M34" s="14">
        <v>32</v>
      </c>
      <c r="N34" s="14">
        <v>6</v>
      </c>
      <c r="O34" s="14">
        <v>21</v>
      </c>
      <c r="P34" s="14">
        <v>8</v>
      </c>
      <c r="Q34" s="14">
        <v>7</v>
      </c>
      <c r="R34" s="14">
        <v>7</v>
      </c>
      <c r="S34" s="14">
        <v>21</v>
      </c>
      <c r="T34" s="14">
        <v>7</v>
      </c>
      <c r="U34" s="12">
        <v>13</v>
      </c>
      <c r="V34" s="12">
        <v>3</v>
      </c>
      <c r="W34" s="12">
        <v>8</v>
      </c>
      <c r="X34" s="12">
        <v>1</v>
      </c>
      <c r="Y34" s="12"/>
      <c r="Z34" s="12"/>
      <c r="AA34" s="14">
        <f t="shared" si="2"/>
        <v>313</v>
      </c>
      <c r="AB34" s="14">
        <f t="shared" si="3"/>
        <v>112</v>
      </c>
    </row>
    <row r="35" spans="2:28" ht="15">
      <c r="B35" s="41" t="s">
        <v>15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2"/>
      <c r="V35" s="12"/>
      <c r="W35" s="12"/>
      <c r="X35" s="12"/>
      <c r="Y35" s="12"/>
      <c r="Z35" s="12"/>
      <c r="AA35" s="14">
        <f t="shared" si="2"/>
        <v>0</v>
      </c>
      <c r="AB35" s="14">
        <f t="shared" si="3"/>
        <v>0</v>
      </c>
    </row>
    <row r="36" spans="2:28" ht="15">
      <c r="B36" s="42" t="s">
        <v>16</v>
      </c>
      <c r="C36" s="13">
        <f t="shared" ref="C36:P36" si="4">SUM(C28:C35)</f>
        <v>86</v>
      </c>
      <c r="D36" s="13">
        <f t="shared" si="4"/>
        <v>86</v>
      </c>
      <c r="E36" s="13">
        <f t="shared" si="4"/>
        <v>197</v>
      </c>
      <c r="F36" s="13">
        <f t="shared" si="4"/>
        <v>77</v>
      </c>
      <c r="G36" s="13">
        <f t="shared" si="4"/>
        <v>222</v>
      </c>
      <c r="H36" s="13">
        <f t="shared" si="4"/>
        <v>95</v>
      </c>
      <c r="I36" s="13">
        <f t="shared" si="4"/>
        <v>269</v>
      </c>
      <c r="J36" s="13">
        <f t="shared" si="4"/>
        <v>82</v>
      </c>
      <c r="K36" s="13">
        <f t="shared" si="4"/>
        <v>194</v>
      </c>
      <c r="L36" s="13">
        <f t="shared" si="4"/>
        <v>123</v>
      </c>
      <c r="M36" s="13">
        <f t="shared" si="4"/>
        <v>188</v>
      </c>
      <c r="N36" s="13">
        <f t="shared" si="4"/>
        <v>80</v>
      </c>
      <c r="O36" s="13">
        <f t="shared" si="4"/>
        <v>95</v>
      </c>
      <c r="P36" s="13">
        <f t="shared" si="4"/>
        <v>42</v>
      </c>
      <c r="Q36" s="13">
        <f t="shared" ref="Q36:V36" si="5">SUM(Q28:Q35)</f>
        <v>117</v>
      </c>
      <c r="R36" s="13">
        <f t="shared" si="5"/>
        <v>56</v>
      </c>
      <c r="S36" s="13">
        <f t="shared" si="5"/>
        <v>163</v>
      </c>
      <c r="T36" s="13">
        <f t="shared" si="5"/>
        <v>78</v>
      </c>
      <c r="U36" s="13">
        <f t="shared" si="5"/>
        <v>109</v>
      </c>
      <c r="V36" s="13">
        <f t="shared" si="5"/>
        <v>43</v>
      </c>
      <c r="W36" s="13">
        <f>SUM(W28:W35)</f>
        <v>100</v>
      </c>
      <c r="X36" s="13">
        <f>SUM(X28:X35)</f>
        <v>55</v>
      </c>
      <c r="Y36" s="13"/>
      <c r="Z36" s="13"/>
      <c r="AA36" s="13">
        <f t="shared" si="2"/>
        <v>1418</v>
      </c>
      <c r="AB36" s="13">
        <f>SUM(AB28:AB35)</f>
        <v>775</v>
      </c>
    </row>
    <row r="37" spans="2:28" ht="15">
      <c r="B37" s="43" t="s">
        <v>17</v>
      </c>
      <c r="C37" s="14">
        <v>1</v>
      </c>
      <c r="D37" s="14">
        <v>13</v>
      </c>
      <c r="E37" s="14">
        <v>1</v>
      </c>
      <c r="F37" s="14">
        <v>21</v>
      </c>
      <c r="G37" s="14">
        <v>1</v>
      </c>
      <c r="H37" s="14">
        <v>3</v>
      </c>
      <c r="I37" s="14">
        <v>1</v>
      </c>
      <c r="J37" s="14">
        <v>2</v>
      </c>
      <c r="K37" s="14">
        <v>1</v>
      </c>
      <c r="L37" s="14">
        <v>18</v>
      </c>
      <c r="M37" s="14">
        <v>1</v>
      </c>
      <c r="N37" s="14">
        <v>19</v>
      </c>
      <c r="O37" s="14">
        <v>1</v>
      </c>
      <c r="P37" s="14">
        <v>4</v>
      </c>
      <c r="Q37" s="14">
        <v>1</v>
      </c>
      <c r="R37" s="14">
        <v>13</v>
      </c>
      <c r="S37" s="14">
        <v>1</v>
      </c>
      <c r="T37" s="14">
        <v>23</v>
      </c>
      <c r="U37" s="12">
        <v>1</v>
      </c>
      <c r="V37" s="12">
        <v>5</v>
      </c>
      <c r="W37" s="12">
        <v>1</v>
      </c>
      <c r="X37" s="12">
        <v>9</v>
      </c>
      <c r="Y37" s="12"/>
      <c r="Z37" s="12"/>
      <c r="AA37" s="14">
        <f>+C37+E37+G37+I37+K37+M37+O37+Q37+S37+U37+W37+Y37</f>
        <v>11</v>
      </c>
      <c r="AB37" s="14">
        <f>+D37+F37+H37+J37+L37+N37+P37+R37+T37+V37+X37+Z37</f>
        <v>130</v>
      </c>
    </row>
    <row r="38" spans="2:28" ht="15">
      <c r="B38" s="44" t="s">
        <v>16</v>
      </c>
      <c r="C38" s="13">
        <f>SUM(C37)</f>
        <v>1</v>
      </c>
      <c r="D38" s="13">
        <f>SUM(D37)</f>
        <v>13</v>
      </c>
      <c r="E38" s="13">
        <f>SUM(E37)</f>
        <v>1</v>
      </c>
      <c r="F38" s="13">
        <f>SUM(F37)</f>
        <v>21</v>
      </c>
      <c r="G38" s="13">
        <f t="shared" ref="G38:P38" si="6">SUM(G37)</f>
        <v>1</v>
      </c>
      <c r="H38" s="13">
        <f t="shared" si="6"/>
        <v>3</v>
      </c>
      <c r="I38" s="13">
        <f t="shared" si="6"/>
        <v>1</v>
      </c>
      <c r="J38" s="13">
        <f t="shared" si="6"/>
        <v>2</v>
      </c>
      <c r="K38" s="13">
        <f t="shared" si="6"/>
        <v>1</v>
      </c>
      <c r="L38" s="13">
        <f t="shared" si="6"/>
        <v>18</v>
      </c>
      <c r="M38" s="13">
        <f t="shared" si="6"/>
        <v>1</v>
      </c>
      <c r="N38" s="13">
        <f t="shared" si="6"/>
        <v>19</v>
      </c>
      <c r="O38" s="13">
        <f t="shared" si="6"/>
        <v>1</v>
      </c>
      <c r="P38" s="13">
        <f t="shared" si="6"/>
        <v>4</v>
      </c>
      <c r="Q38" s="13">
        <f t="shared" ref="Q38:V38" si="7">SUM(Q37)</f>
        <v>1</v>
      </c>
      <c r="R38" s="13">
        <f t="shared" si="7"/>
        <v>13</v>
      </c>
      <c r="S38" s="13">
        <f t="shared" si="7"/>
        <v>1</v>
      </c>
      <c r="T38" s="13">
        <f t="shared" si="7"/>
        <v>23</v>
      </c>
      <c r="U38" s="13">
        <f t="shared" si="7"/>
        <v>1</v>
      </c>
      <c r="V38" s="13">
        <f t="shared" si="7"/>
        <v>5</v>
      </c>
      <c r="W38" s="13">
        <f>SUM(W37)</f>
        <v>1</v>
      </c>
      <c r="X38" s="13">
        <f>SUM(X37)</f>
        <v>9</v>
      </c>
      <c r="Y38" s="13"/>
      <c r="Z38" s="13"/>
      <c r="AA38" s="13">
        <f>+C38+E38+G38+I38+K38+M38+O38+Q38+S38+U38+W38+Y38</f>
        <v>11</v>
      </c>
      <c r="AB38" s="13">
        <f>+D38+F38+H38+J38+L38+N38+P38+R38+T38+V38+X38+Z38</f>
        <v>130</v>
      </c>
    </row>
    <row r="39" spans="2:28" ht="15">
      <c r="B39" s="45" t="s">
        <v>18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>
        <v>1</v>
      </c>
      <c r="P39" s="14">
        <v>1</v>
      </c>
      <c r="Q39" s="14"/>
      <c r="R39" s="14"/>
      <c r="S39" s="14">
        <v>1</v>
      </c>
      <c r="T39" s="14">
        <v>1</v>
      </c>
      <c r="U39" s="12"/>
      <c r="V39" s="12"/>
      <c r="W39" s="12"/>
      <c r="X39" s="12"/>
      <c r="Y39" s="12"/>
      <c r="Z39" s="12"/>
      <c r="AA39" s="15">
        <f>+C39+E39+G39+I39+K39+M39+O39+Q39+S39+U39+Y39</f>
        <v>2</v>
      </c>
      <c r="AB39" s="15">
        <f>+D39+F39+H39+J39+L39+N39+P39+R39+T39+V39+X39+Z39</f>
        <v>2</v>
      </c>
    </row>
    <row r="40" spans="2:28" ht="37.5" customHeight="1">
      <c r="B40" s="46" t="s">
        <v>16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>
        <f>SUM(O39)</f>
        <v>1</v>
      </c>
      <c r="P40" s="13">
        <f>SUM(P39)</f>
        <v>1</v>
      </c>
      <c r="Q40" s="13"/>
      <c r="R40" s="13"/>
      <c r="S40" s="13">
        <f>SUM(S39)</f>
        <v>1</v>
      </c>
      <c r="T40" s="13">
        <f>SUM(T39)</f>
        <v>1</v>
      </c>
      <c r="U40" s="13"/>
      <c r="V40" s="13"/>
      <c r="W40" s="13"/>
      <c r="X40" s="13"/>
      <c r="Y40" s="13"/>
      <c r="Z40" s="13"/>
      <c r="AA40" s="16">
        <f>+C40+E40+G40+I40+K40+M40+O40+Q40+S40+U40+Y40</f>
        <v>2</v>
      </c>
      <c r="AB40" s="16">
        <f>+D40+F40+H40+J40+L40+N40+P40+R40+T40+V40+X40+Z40</f>
        <v>2</v>
      </c>
    </row>
    <row r="41" spans="2:28" ht="15">
      <c r="B41" s="47" t="s">
        <v>19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2">
        <f>+C41+E41+I41+G41+K41+O41+M41+Q41+S41+U41+W41+Y41</f>
        <v>0</v>
      </c>
      <c r="AB41" s="12">
        <f>+D41+D41+F41+H41+J41+L41+N41+P41+R41+T41+V41+X41</f>
        <v>0</v>
      </c>
    </row>
    <row r="42" spans="2:28" ht="15">
      <c r="B42" s="48" t="s">
        <v>20</v>
      </c>
      <c r="C42" s="14"/>
      <c r="D42" s="14"/>
      <c r="E42" s="14">
        <v>1</v>
      </c>
      <c r="F42" s="14">
        <v>1</v>
      </c>
      <c r="G42" s="14"/>
      <c r="H42" s="14"/>
      <c r="I42" s="14"/>
      <c r="J42" s="14"/>
      <c r="K42" s="14"/>
      <c r="L42" s="14"/>
      <c r="M42" s="14">
        <v>3</v>
      </c>
      <c r="N42" s="14">
        <v>3</v>
      </c>
      <c r="O42" s="14"/>
      <c r="P42" s="14"/>
      <c r="Q42" s="14"/>
      <c r="R42" s="14"/>
      <c r="S42" s="14"/>
      <c r="T42" s="14"/>
      <c r="U42" s="14">
        <v>1</v>
      </c>
      <c r="V42" s="14">
        <v>1</v>
      </c>
      <c r="W42" s="14">
        <v>1</v>
      </c>
      <c r="X42" s="14">
        <v>1</v>
      </c>
      <c r="Y42" s="14"/>
      <c r="Z42" s="14"/>
      <c r="AA42" s="12">
        <f t="shared" ref="AA42:AA43" si="8">+C42+E42+I42+G42+K42+O42+M42+Q42+S42+U42+W42+Y42</f>
        <v>6</v>
      </c>
      <c r="AB42" s="12">
        <f t="shared" ref="AB42:AB43" si="9">+D42+D42+F42+H42+J42+L42+N42+P42+R42+T42+V42+X42</f>
        <v>6</v>
      </c>
    </row>
    <row r="43" spans="2:28" ht="15">
      <c r="B43" s="46" t="s">
        <v>16</v>
      </c>
      <c r="C43" s="13"/>
      <c r="D43" s="13"/>
      <c r="E43" s="13">
        <f>SUM(E42)</f>
        <v>1</v>
      </c>
      <c r="F43" s="13">
        <f>SUM(F42)</f>
        <v>1</v>
      </c>
      <c r="G43" s="13"/>
      <c r="H43" s="13"/>
      <c r="I43" s="13"/>
      <c r="J43" s="13"/>
      <c r="K43" s="13"/>
      <c r="L43" s="13"/>
      <c r="M43" s="13">
        <f>SUM(M42)</f>
        <v>3</v>
      </c>
      <c r="N43" s="13">
        <f>SUM(N42)</f>
        <v>3</v>
      </c>
      <c r="O43" s="13"/>
      <c r="P43" s="13"/>
      <c r="Q43" s="13"/>
      <c r="R43" s="13"/>
      <c r="S43" s="13"/>
      <c r="T43" s="13"/>
      <c r="U43" s="13">
        <f>SUM(U42)</f>
        <v>1</v>
      </c>
      <c r="V43" s="13">
        <f>SUM(V42)</f>
        <v>1</v>
      </c>
      <c r="W43" s="13">
        <f>SUM(W42)</f>
        <v>1</v>
      </c>
      <c r="X43" s="13">
        <f>SUM(X42)</f>
        <v>1</v>
      </c>
      <c r="Y43" s="13"/>
      <c r="Z43" s="13"/>
      <c r="AA43" s="13">
        <f t="shared" si="8"/>
        <v>6</v>
      </c>
      <c r="AB43" s="13">
        <f t="shared" si="9"/>
        <v>6</v>
      </c>
    </row>
    <row r="44" spans="2:28" ht="15.75" customHeight="1"/>
    <row r="45" spans="2:28" ht="18" customHeight="1">
      <c r="B45" s="77"/>
      <c r="C45" s="77"/>
      <c r="D45" s="77"/>
    </row>
    <row r="47" spans="2:28" ht="15.75" customHeight="1">
      <c r="B47" s="95" t="s">
        <v>30</v>
      </c>
      <c r="C47" s="81" t="s">
        <v>47</v>
      </c>
      <c r="D47" s="82"/>
      <c r="E47" s="81" t="s">
        <v>50</v>
      </c>
      <c r="F47" s="82"/>
      <c r="G47" s="81" t="s">
        <v>51</v>
      </c>
      <c r="H47" s="82"/>
      <c r="I47" s="81" t="s">
        <v>52</v>
      </c>
      <c r="J47" s="82"/>
      <c r="K47" s="81" t="s">
        <v>53</v>
      </c>
      <c r="L47" s="82"/>
      <c r="M47" s="81" t="s">
        <v>54</v>
      </c>
      <c r="N47" s="82"/>
      <c r="O47" s="81" t="s">
        <v>55</v>
      </c>
      <c r="P47" s="82"/>
      <c r="Q47" s="81" t="s">
        <v>56</v>
      </c>
      <c r="R47" s="82"/>
      <c r="S47" s="81" t="s">
        <v>49</v>
      </c>
      <c r="T47" s="82"/>
      <c r="U47" s="81" t="s">
        <v>2</v>
      </c>
      <c r="V47" s="82"/>
      <c r="W47" s="81" t="s">
        <v>3</v>
      </c>
      <c r="X47" s="82"/>
      <c r="Y47" s="81" t="s">
        <v>4</v>
      </c>
      <c r="Z47" s="82"/>
      <c r="AA47" s="81" t="s">
        <v>5</v>
      </c>
      <c r="AB47" s="82"/>
    </row>
    <row r="48" spans="2:28" s="2" customFormat="1" ht="31.5">
      <c r="B48" s="96"/>
      <c r="C48" s="18" t="s">
        <v>6</v>
      </c>
      <c r="D48" s="18" t="s">
        <v>7</v>
      </c>
      <c r="E48" s="18" t="s">
        <v>6</v>
      </c>
      <c r="F48" s="18" t="s">
        <v>7</v>
      </c>
      <c r="G48" s="18" t="s">
        <v>6</v>
      </c>
      <c r="H48" s="18" t="s">
        <v>7</v>
      </c>
      <c r="I48" s="18" t="s">
        <v>6</v>
      </c>
      <c r="J48" s="18" t="s">
        <v>7</v>
      </c>
      <c r="K48" s="18" t="s">
        <v>6</v>
      </c>
      <c r="L48" s="18" t="s">
        <v>7</v>
      </c>
      <c r="M48" s="18" t="s">
        <v>6</v>
      </c>
      <c r="N48" s="18" t="s">
        <v>7</v>
      </c>
      <c r="O48" s="18" t="s">
        <v>6</v>
      </c>
      <c r="P48" s="18" t="s">
        <v>7</v>
      </c>
      <c r="Q48" s="18" t="s">
        <v>6</v>
      </c>
      <c r="R48" s="18" t="s">
        <v>7</v>
      </c>
      <c r="S48" s="18" t="s">
        <v>6</v>
      </c>
      <c r="T48" s="18" t="s">
        <v>7</v>
      </c>
      <c r="U48" s="18" t="s">
        <v>6</v>
      </c>
      <c r="V48" s="18" t="s">
        <v>7</v>
      </c>
      <c r="W48" s="18" t="s">
        <v>6</v>
      </c>
      <c r="X48" s="18" t="s">
        <v>7</v>
      </c>
      <c r="Y48" s="18" t="s">
        <v>6</v>
      </c>
      <c r="Z48" s="18" t="s">
        <v>7</v>
      </c>
      <c r="AA48" s="19" t="s">
        <v>6</v>
      </c>
      <c r="AB48" s="19" t="s">
        <v>7</v>
      </c>
    </row>
    <row r="49" spans="2:28" ht="20.25" customHeight="1">
      <c r="B49" s="39" t="s">
        <v>8</v>
      </c>
      <c r="C49" s="14">
        <v>8</v>
      </c>
      <c r="D49" s="14">
        <v>8</v>
      </c>
      <c r="E49" s="14">
        <v>10</v>
      </c>
      <c r="F49" s="14">
        <v>10</v>
      </c>
      <c r="G49" s="14"/>
      <c r="H49" s="14"/>
      <c r="I49" s="14">
        <v>8</v>
      </c>
      <c r="J49" s="14">
        <v>8</v>
      </c>
      <c r="K49" s="14">
        <v>15</v>
      </c>
      <c r="L49" s="14">
        <v>15</v>
      </c>
      <c r="M49" s="14">
        <v>14</v>
      </c>
      <c r="N49" s="14">
        <v>14</v>
      </c>
      <c r="O49" s="14"/>
      <c r="P49" s="14"/>
      <c r="Q49" s="14"/>
      <c r="R49" s="14"/>
      <c r="S49" s="14">
        <v>10</v>
      </c>
      <c r="T49" s="14">
        <v>10</v>
      </c>
      <c r="U49" s="12">
        <v>8</v>
      </c>
      <c r="V49" s="12">
        <v>8</v>
      </c>
      <c r="W49" s="12">
        <v>13</v>
      </c>
      <c r="X49" s="12">
        <v>13</v>
      </c>
      <c r="Y49" s="12"/>
      <c r="Z49" s="12"/>
      <c r="AA49" s="14">
        <f>+C49+E49+G49+I49+K49+M49+O49+Q49+S49+U49+Y49</f>
        <v>73</v>
      </c>
      <c r="AB49" s="14">
        <f>+D49+F49+H49+J49+L49+N49+P49+R49+T49+V49+X49+Z49</f>
        <v>86</v>
      </c>
    </row>
    <row r="50" spans="2:28" ht="20.25" customHeight="1">
      <c r="B50" s="40" t="s">
        <v>9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2"/>
      <c r="V50" s="12"/>
      <c r="W50" s="12"/>
      <c r="X50" s="12"/>
      <c r="Y50" s="12"/>
      <c r="Z50" s="12"/>
      <c r="AA50" s="14">
        <f t="shared" ref="AA50:AA57" si="10">+C50+E50+G50+I50+K50+M50+O50+Q50+S50+U50+Y50</f>
        <v>0</v>
      </c>
      <c r="AB50" s="14">
        <f t="shared" ref="AB50:AB57" si="11">+D50+F50+H50+J50+L50+N50+P50+R50+T50+V50+X50+Z50</f>
        <v>0</v>
      </c>
    </row>
    <row r="51" spans="2:28" ht="20.25" customHeight="1">
      <c r="B51" s="40" t="s">
        <v>10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2"/>
      <c r="V51" s="12"/>
      <c r="W51" s="12"/>
      <c r="X51" s="12"/>
      <c r="Y51" s="12"/>
      <c r="Z51" s="12"/>
      <c r="AA51" s="14">
        <f t="shared" si="10"/>
        <v>0</v>
      </c>
      <c r="AB51" s="14">
        <f t="shared" si="11"/>
        <v>0</v>
      </c>
    </row>
    <row r="52" spans="2:28" ht="20.25" customHeight="1">
      <c r="B52" s="40" t="s">
        <v>11</v>
      </c>
      <c r="C52" s="14">
        <v>23</v>
      </c>
      <c r="D52" s="14">
        <v>23</v>
      </c>
      <c r="E52" s="14">
        <v>19</v>
      </c>
      <c r="F52" s="14">
        <v>19</v>
      </c>
      <c r="G52" s="14"/>
      <c r="H52" s="14"/>
      <c r="I52" s="14">
        <v>14</v>
      </c>
      <c r="J52" s="14">
        <v>14</v>
      </c>
      <c r="K52" s="14">
        <v>19</v>
      </c>
      <c r="L52" s="14">
        <v>19</v>
      </c>
      <c r="M52" s="14">
        <v>23</v>
      </c>
      <c r="N52" s="14">
        <v>23</v>
      </c>
      <c r="O52" s="14"/>
      <c r="P52" s="14"/>
      <c r="Q52" s="14"/>
      <c r="R52" s="14"/>
      <c r="S52" s="14">
        <v>16</v>
      </c>
      <c r="T52" s="14">
        <v>16</v>
      </c>
      <c r="U52" s="12">
        <v>19</v>
      </c>
      <c r="V52" s="12">
        <v>19</v>
      </c>
      <c r="W52" s="12">
        <v>22</v>
      </c>
      <c r="X52" s="12">
        <v>21</v>
      </c>
      <c r="Y52" s="12">
        <v>3</v>
      </c>
      <c r="Z52" s="12">
        <v>3</v>
      </c>
      <c r="AA52" s="14">
        <f t="shared" si="10"/>
        <v>136</v>
      </c>
      <c r="AB52" s="14">
        <f t="shared" si="11"/>
        <v>157</v>
      </c>
    </row>
    <row r="53" spans="2:28" ht="15">
      <c r="B53" s="40" t="s">
        <v>12</v>
      </c>
      <c r="C53" s="14"/>
      <c r="D53" s="14"/>
      <c r="E53" s="14">
        <v>2</v>
      </c>
      <c r="F53" s="14">
        <v>2</v>
      </c>
      <c r="G53" s="14"/>
      <c r="H53" s="14"/>
      <c r="I53" s="14">
        <v>2</v>
      </c>
      <c r="J53" s="14">
        <v>2</v>
      </c>
      <c r="K53" s="14">
        <v>6</v>
      </c>
      <c r="L53" s="14">
        <v>6</v>
      </c>
      <c r="M53" s="14">
        <v>6</v>
      </c>
      <c r="N53" s="14">
        <v>6</v>
      </c>
      <c r="O53" s="14"/>
      <c r="P53" s="14"/>
      <c r="Q53" s="14"/>
      <c r="R53" s="14"/>
      <c r="S53" s="14">
        <v>3</v>
      </c>
      <c r="T53" s="14">
        <v>3</v>
      </c>
      <c r="U53" s="12">
        <v>6</v>
      </c>
      <c r="V53" s="12">
        <v>6</v>
      </c>
      <c r="W53" s="12">
        <v>1</v>
      </c>
      <c r="X53" s="12">
        <v>1</v>
      </c>
      <c r="Y53" s="12">
        <v>1</v>
      </c>
      <c r="Z53" s="12">
        <v>1</v>
      </c>
      <c r="AA53" s="14">
        <f t="shared" si="10"/>
        <v>26</v>
      </c>
      <c r="AB53" s="14">
        <f t="shared" si="11"/>
        <v>27</v>
      </c>
    </row>
    <row r="54" spans="2:28" ht="20.25" customHeight="1">
      <c r="B54" s="40" t="s">
        <v>13</v>
      </c>
      <c r="C54" s="14">
        <v>64</v>
      </c>
      <c r="D54" s="14">
        <v>15</v>
      </c>
      <c r="E54" s="14">
        <v>73</v>
      </c>
      <c r="F54" s="14">
        <v>17</v>
      </c>
      <c r="G54" s="14"/>
      <c r="H54" s="14"/>
      <c r="I54" s="14">
        <v>94</v>
      </c>
      <c r="J54" s="14">
        <v>23</v>
      </c>
      <c r="K54" s="14">
        <v>84</v>
      </c>
      <c r="L54" s="14">
        <v>24</v>
      </c>
      <c r="M54" s="14">
        <v>112</v>
      </c>
      <c r="N54" s="14">
        <v>20</v>
      </c>
      <c r="O54" s="14"/>
      <c r="P54" s="14"/>
      <c r="Q54" s="14"/>
      <c r="R54" s="14"/>
      <c r="S54" s="14">
        <v>88</v>
      </c>
      <c r="T54" s="14">
        <v>20</v>
      </c>
      <c r="U54" s="12">
        <v>72</v>
      </c>
      <c r="V54" s="12">
        <v>17</v>
      </c>
      <c r="W54" s="12">
        <v>54</v>
      </c>
      <c r="X54" s="12">
        <v>13</v>
      </c>
      <c r="Y54" s="12">
        <v>41</v>
      </c>
      <c r="Z54" s="12">
        <v>12</v>
      </c>
      <c r="AA54" s="14">
        <f t="shared" si="10"/>
        <v>628</v>
      </c>
      <c r="AB54" s="14">
        <f t="shared" si="11"/>
        <v>161</v>
      </c>
    </row>
    <row r="55" spans="2:28" ht="20.25" customHeight="1">
      <c r="B55" s="40" t="s">
        <v>14</v>
      </c>
      <c r="C55" s="14">
        <v>5</v>
      </c>
      <c r="D55" s="14">
        <v>1</v>
      </c>
      <c r="E55" s="14">
        <v>6</v>
      </c>
      <c r="F55" s="14">
        <v>4</v>
      </c>
      <c r="G55" s="14"/>
      <c r="H55" s="14"/>
      <c r="I55" s="14">
        <v>33</v>
      </c>
      <c r="J55" s="14">
        <v>5</v>
      </c>
      <c r="K55" s="14">
        <v>18</v>
      </c>
      <c r="L55" s="14">
        <v>6</v>
      </c>
      <c r="M55" s="14">
        <v>68</v>
      </c>
      <c r="N55" s="14">
        <v>12</v>
      </c>
      <c r="O55" s="14"/>
      <c r="P55" s="14"/>
      <c r="Q55" s="14"/>
      <c r="R55" s="14"/>
      <c r="S55" s="14">
        <v>30</v>
      </c>
      <c r="T55" s="14">
        <v>7</v>
      </c>
      <c r="U55" s="12">
        <v>60</v>
      </c>
      <c r="V55" s="12">
        <v>10</v>
      </c>
      <c r="W55" s="12">
        <v>18</v>
      </c>
      <c r="X55" s="12">
        <v>4</v>
      </c>
      <c r="Y55" s="12">
        <v>7</v>
      </c>
      <c r="Z55" s="12">
        <v>2</v>
      </c>
      <c r="AA55" s="14">
        <f t="shared" si="10"/>
        <v>227</v>
      </c>
      <c r="AB55" s="14">
        <f t="shared" si="11"/>
        <v>51</v>
      </c>
    </row>
    <row r="56" spans="2:28" ht="15">
      <c r="B56" s="41" t="s">
        <v>15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2"/>
      <c r="V56" s="12"/>
      <c r="W56" s="12"/>
      <c r="X56" s="12"/>
      <c r="Y56" s="12"/>
      <c r="Z56" s="12"/>
      <c r="AA56" s="14">
        <f t="shared" si="10"/>
        <v>0</v>
      </c>
      <c r="AB56" s="14">
        <f t="shared" si="11"/>
        <v>0</v>
      </c>
    </row>
    <row r="57" spans="2:28" ht="15">
      <c r="B57" s="42" t="s">
        <v>16</v>
      </c>
      <c r="C57" s="13">
        <f>SUM(C49:C56)</f>
        <v>100</v>
      </c>
      <c r="D57" s="13">
        <f>SUM(D49:D56)</f>
        <v>47</v>
      </c>
      <c r="E57" s="13">
        <f>SUM(E49:E56)</f>
        <v>110</v>
      </c>
      <c r="F57" s="13">
        <f>SUM(F49:F56)</f>
        <v>52</v>
      </c>
      <c r="G57" s="13"/>
      <c r="H57" s="13"/>
      <c r="I57" s="13">
        <f t="shared" ref="I57:N57" si="12">SUM(I49:I56)</f>
        <v>151</v>
      </c>
      <c r="J57" s="13">
        <f t="shared" si="12"/>
        <v>52</v>
      </c>
      <c r="K57" s="13">
        <f t="shared" si="12"/>
        <v>142</v>
      </c>
      <c r="L57" s="13">
        <f t="shared" si="12"/>
        <v>70</v>
      </c>
      <c r="M57" s="13">
        <f t="shared" si="12"/>
        <v>223</v>
      </c>
      <c r="N57" s="13">
        <f t="shared" si="12"/>
        <v>75</v>
      </c>
      <c r="O57" s="13"/>
      <c r="P57" s="13"/>
      <c r="Q57" s="13"/>
      <c r="R57" s="13"/>
      <c r="S57" s="13">
        <f t="shared" ref="S57:X57" si="13">SUM(S49:S56)</f>
        <v>147</v>
      </c>
      <c r="T57" s="13">
        <f t="shared" si="13"/>
        <v>56</v>
      </c>
      <c r="U57" s="13">
        <f t="shared" si="13"/>
        <v>165</v>
      </c>
      <c r="V57" s="13">
        <f t="shared" si="13"/>
        <v>60</v>
      </c>
      <c r="W57" s="13">
        <f t="shared" si="13"/>
        <v>108</v>
      </c>
      <c r="X57" s="13">
        <f t="shared" si="13"/>
        <v>52</v>
      </c>
      <c r="Y57" s="13">
        <f>SUM(Y52:Y56)</f>
        <v>52</v>
      </c>
      <c r="Z57" s="13">
        <f>SUM(Z52:Z56)</f>
        <v>18</v>
      </c>
      <c r="AA57" s="13">
        <f t="shared" si="10"/>
        <v>1090</v>
      </c>
      <c r="AB57" s="13">
        <f t="shared" si="11"/>
        <v>482</v>
      </c>
    </row>
    <row r="58" spans="2:28" ht="15">
      <c r="B58" s="43" t="s">
        <v>17</v>
      </c>
      <c r="C58" s="14">
        <v>1</v>
      </c>
      <c r="D58" s="14">
        <v>8</v>
      </c>
      <c r="E58" s="14">
        <v>1</v>
      </c>
      <c r="F58" s="14">
        <v>10</v>
      </c>
      <c r="G58" s="14"/>
      <c r="H58" s="14"/>
      <c r="I58" s="14">
        <v>1</v>
      </c>
      <c r="J58" s="14">
        <v>8</v>
      </c>
      <c r="K58" s="14">
        <v>1</v>
      </c>
      <c r="L58" s="14">
        <v>15</v>
      </c>
      <c r="M58" s="14">
        <v>1</v>
      </c>
      <c r="N58" s="14">
        <v>14</v>
      </c>
      <c r="O58" s="14"/>
      <c r="P58" s="14"/>
      <c r="Q58" s="14"/>
      <c r="R58" s="14"/>
      <c r="S58" s="14">
        <v>1</v>
      </c>
      <c r="T58" s="14">
        <v>10</v>
      </c>
      <c r="U58" s="12">
        <v>1</v>
      </c>
      <c r="V58" s="12">
        <v>8</v>
      </c>
      <c r="W58" s="12">
        <v>1</v>
      </c>
      <c r="X58" s="12">
        <v>13</v>
      </c>
      <c r="Y58" s="12"/>
      <c r="Z58" s="12"/>
      <c r="AA58" s="14">
        <f>+C58+E58+G58+I58+K58+M58+O58+Q58+S58+U58+W58</f>
        <v>8</v>
      </c>
      <c r="AB58" s="14">
        <f>+D58+F58+H58+J58+L58+N58+P58+R58+T58+V58+X58+Z58</f>
        <v>86</v>
      </c>
    </row>
    <row r="59" spans="2:28" ht="15">
      <c r="B59" s="44" t="s">
        <v>16</v>
      </c>
      <c r="C59" s="13">
        <f>SUM(C58)</f>
        <v>1</v>
      </c>
      <c r="D59" s="13">
        <f>SUM(D58)</f>
        <v>8</v>
      </c>
      <c r="E59" s="13">
        <f>SUM(E58)</f>
        <v>1</v>
      </c>
      <c r="F59" s="13">
        <f>SUM(F58)</f>
        <v>10</v>
      </c>
      <c r="G59" s="13"/>
      <c r="H59" s="13"/>
      <c r="I59" s="13">
        <f t="shared" ref="I59:N59" si="14">SUM(I58)</f>
        <v>1</v>
      </c>
      <c r="J59" s="13">
        <f t="shared" si="14"/>
        <v>8</v>
      </c>
      <c r="K59" s="13">
        <f t="shared" si="14"/>
        <v>1</v>
      </c>
      <c r="L59" s="13">
        <f t="shared" si="14"/>
        <v>15</v>
      </c>
      <c r="M59" s="13">
        <f t="shared" si="14"/>
        <v>1</v>
      </c>
      <c r="N59" s="13">
        <f t="shared" si="14"/>
        <v>14</v>
      </c>
      <c r="O59" s="13"/>
      <c r="P59" s="13"/>
      <c r="Q59" s="13"/>
      <c r="R59" s="13"/>
      <c r="S59" s="13">
        <f>SUM(S58)</f>
        <v>1</v>
      </c>
      <c r="T59" s="13">
        <f>SUM(T58)</f>
        <v>10</v>
      </c>
      <c r="U59" s="13">
        <f>SUM(U58)</f>
        <v>1</v>
      </c>
      <c r="V59" s="13">
        <f>SUM(V58)</f>
        <v>8</v>
      </c>
      <c r="W59" s="13"/>
      <c r="X59" s="13"/>
      <c r="Y59" s="13"/>
      <c r="Z59" s="13"/>
      <c r="AA59" s="13">
        <f>+C59+E59+G59+I59+K59+M59+O59+Q59+S59+U59+W59</f>
        <v>7</v>
      </c>
      <c r="AB59" s="13">
        <f>+D59+F59+H59+J59+L59+N59+P59+R59+T59+V59+X59+Z59</f>
        <v>73</v>
      </c>
    </row>
    <row r="60" spans="2:28" ht="15">
      <c r="B60" s="45" t="s">
        <v>18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2"/>
      <c r="V60" s="12"/>
      <c r="W60" s="12"/>
      <c r="X60" s="12"/>
      <c r="Y60" s="12"/>
      <c r="Z60" s="12"/>
      <c r="AA60" s="15">
        <f>+C60+E60+G60+I60+K60+M60+O60+Q60+S60++U60+Y60+W60</f>
        <v>0</v>
      </c>
      <c r="AB60" s="15">
        <f>+D60+F60+H60+J60+L60+P60+N60+R60+T60+V60+X60+Z60</f>
        <v>0</v>
      </c>
    </row>
    <row r="61" spans="2:28" ht="37.5" customHeight="1">
      <c r="B61" s="46" t="s">
        <v>16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6">
        <f>SUM(AA60)</f>
        <v>0</v>
      </c>
      <c r="AB61" s="16">
        <f>SUM(AB60)</f>
        <v>0</v>
      </c>
    </row>
    <row r="62" spans="2:28" ht="15">
      <c r="B62" s="47" t="s">
        <v>19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2">
        <f>+C62+E62+G62+I62+K62+M62+O62+Q62+U62+W62+Y62</f>
        <v>0</v>
      </c>
      <c r="AB62" s="12">
        <f>+D62+F62+H62+J62+L62+N62+P62+R62+T62+V62+X62+Z62</f>
        <v>0</v>
      </c>
    </row>
    <row r="63" spans="2:28" ht="15">
      <c r="B63" s="48" t="s">
        <v>20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2">
        <f t="shared" ref="AA63:AA64" si="15">+C63+E63+G63+I63+K63+M63+O63+Q63+U63+W63+Y63</f>
        <v>0</v>
      </c>
      <c r="AB63" s="12">
        <f t="shared" ref="AB63:AB64" si="16">+D63+F63+H63+J63+L63+N63+P63+R63+T63+V63+X63+Z63</f>
        <v>0</v>
      </c>
    </row>
    <row r="64" spans="2:28" ht="15">
      <c r="B64" s="46" t="s">
        <v>16</v>
      </c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>
        <f t="shared" si="15"/>
        <v>0</v>
      </c>
      <c r="AB64" s="13">
        <f t="shared" si="16"/>
        <v>0</v>
      </c>
    </row>
    <row r="65" spans="2:28" ht="15.75" customHeight="1"/>
    <row r="66" spans="2:28" ht="18" customHeight="1">
      <c r="B66" s="77"/>
      <c r="C66" s="77"/>
      <c r="D66" s="77"/>
    </row>
    <row r="67" spans="2:28" ht="15">
      <c r="B67" s="78"/>
      <c r="C67" s="78"/>
      <c r="D67" s="78"/>
    </row>
    <row r="68" spans="2:28" ht="15">
      <c r="B68" s="20"/>
    </row>
    <row r="69" spans="2:28" ht="15.75" customHeight="1">
      <c r="B69" s="95" t="s">
        <v>32</v>
      </c>
      <c r="C69" s="81" t="s">
        <v>47</v>
      </c>
      <c r="D69" s="82"/>
      <c r="E69" s="81" t="s">
        <v>50</v>
      </c>
      <c r="F69" s="82"/>
      <c r="G69" s="81" t="s">
        <v>51</v>
      </c>
      <c r="H69" s="82"/>
      <c r="I69" s="81" t="s">
        <v>52</v>
      </c>
      <c r="J69" s="82"/>
      <c r="K69" s="81" t="s">
        <v>53</v>
      </c>
      <c r="L69" s="82"/>
      <c r="M69" s="81" t="s">
        <v>54</v>
      </c>
      <c r="N69" s="82"/>
      <c r="O69" s="81" t="s">
        <v>55</v>
      </c>
      <c r="P69" s="82"/>
      <c r="Q69" s="81" t="s">
        <v>56</v>
      </c>
      <c r="R69" s="82"/>
      <c r="S69" s="81" t="s">
        <v>49</v>
      </c>
      <c r="T69" s="82"/>
      <c r="U69" s="81" t="s">
        <v>2</v>
      </c>
      <c r="V69" s="82"/>
      <c r="W69" s="81" t="s">
        <v>3</v>
      </c>
      <c r="X69" s="82"/>
      <c r="Y69" s="81" t="s">
        <v>4</v>
      </c>
      <c r="Z69" s="82"/>
      <c r="AA69" s="81" t="s">
        <v>5</v>
      </c>
      <c r="AB69" s="82"/>
    </row>
    <row r="70" spans="2:28" s="2" customFormat="1" ht="31.5">
      <c r="B70" s="96"/>
      <c r="C70" s="18" t="s">
        <v>6</v>
      </c>
      <c r="D70" s="18" t="s">
        <v>7</v>
      </c>
      <c r="E70" s="18" t="s">
        <v>6</v>
      </c>
      <c r="F70" s="18" t="s">
        <v>7</v>
      </c>
      <c r="G70" s="18" t="s">
        <v>6</v>
      </c>
      <c r="H70" s="18" t="s">
        <v>7</v>
      </c>
      <c r="I70" s="18" t="s">
        <v>6</v>
      </c>
      <c r="J70" s="18" t="s">
        <v>7</v>
      </c>
      <c r="K70" s="18" t="s">
        <v>6</v>
      </c>
      <c r="L70" s="18" t="s">
        <v>7</v>
      </c>
      <c r="M70" s="18" t="s">
        <v>6</v>
      </c>
      <c r="N70" s="18" t="s">
        <v>7</v>
      </c>
      <c r="O70" s="18" t="s">
        <v>6</v>
      </c>
      <c r="P70" s="18" t="s">
        <v>7</v>
      </c>
      <c r="Q70" s="18" t="s">
        <v>6</v>
      </c>
      <c r="R70" s="18" t="s">
        <v>7</v>
      </c>
      <c r="S70" s="18" t="s">
        <v>6</v>
      </c>
      <c r="T70" s="18" t="s">
        <v>7</v>
      </c>
      <c r="U70" s="18" t="s">
        <v>6</v>
      </c>
      <c r="V70" s="18" t="s">
        <v>7</v>
      </c>
      <c r="W70" s="18" t="s">
        <v>6</v>
      </c>
      <c r="X70" s="18" t="s">
        <v>7</v>
      </c>
      <c r="Y70" s="18" t="s">
        <v>6</v>
      </c>
      <c r="Z70" s="18" t="s">
        <v>7</v>
      </c>
      <c r="AA70" s="19" t="s">
        <v>6</v>
      </c>
      <c r="AB70" s="19" t="s">
        <v>7</v>
      </c>
    </row>
    <row r="71" spans="2:28" ht="20.25" customHeight="1">
      <c r="B71" s="39" t="s">
        <v>8</v>
      </c>
      <c r="C71" s="14">
        <v>12</v>
      </c>
      <c r="D71" s="14">
        <v>12</v>
      </c>
      <c r="E71" s="14">
        <v>18</v>
      </c>
      <c r="F71" s="14">
        <v>18</v>
      </c>
      <c r="G71" s="14">
        <v>6</v>
      </c>
      <c r="H71" s="14">
        <v>6</v>
      </c>
      <c r="I71" s="14">
        <v>8</v>
      </c>
      <c r="J71" s="14">
        <v>8</v>
      </c>
      <c r="K71" s="14">
        <v>5</v>
      </c>
      <c r="L71" s="14">
        <v>5</v>
      </c>
      <c r="M71" s="14">
        <v>5</v>
      </c>
      <c r="N71" s="14">
        <v>5</v>
      </c>
      <c r="O71" s="14">
        <v>3</v>
      </c>
      <c r="P71" s="14">
        <v>3</v>
      </c>
      <c r="Q71" s="14">
        <v>1</v>
      </c>
      <c r="R71" s="14">
        <v>1</v>
      </c>
      <c r="S71" s="14">
        <v>2</v>
      </c>
      <c r="T71" s="14">
        <v>2</v>
      </c>
      <c r="U71" s="12">
        <v>6</v>
      </c>
      <c r="V71" s="12">
        <v>6</v>
      </c>
      <c r="W71" s="12">
        <v>8</v>
      </c>
      <c r="X71" s="12">
        <v>8</v>
      </c>
      <c r="Y71" s="12">
        <v>3</v>
      </c>
      <c r="Z71" s="12">
        <v>3</v>
      </c>
      <c r="AA71" s="14">
        <f t="shared" ref="AA71:AA79" si="17">+S71+U71+W71+Y71</f>
        <v>19</v>
      </c>
      <c r="AB71" s="14">
        <f t="shared" ref="AB71:AB79" si="18">+T71+V71+X71+Z71</f>
        <v>19</v>
      </c>
    </row>
    <row r="72" spans="2:28" ht="20.25" customHeight="1">
      <c r="B72" s="40" t="s">
        <v>9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2"/>
      <c r="V72" s="12"/>
      <c r="W72" s="12"/>
      <c r="X72" s="12"/>
      <c r="Y72" s="12"/>
      <c r="Z72" s="12"/>
      <c r="AA72" s="14">
        <f t="shared" si="17"/>
        <v>0</v>
      </c>
      <c r="AB72" s="14">
        <f t="shared" si="18"/>
        <v>0</v>
      </c>
    </row>
    <row r="73" spans="2:28" ht="20.25" customHeight="1">
      <c r="B73" s="40" t="s">
        <v>10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2"/>
      <c r="V73" s="12"/>
      <c r="W73" s="12"/>
      <c r="X73" s="12"/>
      <c r="Y73" s="12"/>
      <c r="Z73" s="12"/>
      <c r="AA73" s="14">
        <f t="shared" si="17"/>
        <v>0</v>
      </c>
      <c r="AB73" s="14">
        <f t="shared" si="18"/>
        <v>0</v>
      </c>
    </row>
    <row r="74" spans="2:28" ht="20.25" customHeight="1">
      <c r="B74" s="40" t="s">
        <v>11</v>
      </c>
      <c r="C74" s="14">
        <v>14</v>
      </c>
      <c r="D74" s="14">
        <v>14</v>
      </c>
      <c r="E74" s="14">
        <v>27</v>
      </c>
      <c r="F74" s="14">
        <v>26</v>
      </c>
      <c r="G74" s="14">
        <v>10</v>
      </c>
      <c r="H74" s="14">
        <v>10</v>
      </c>
      <c r="I74" s="14">
        <v>27</v>
      </c>
      <c r="J74" s="14">
        <v>26</v>
      </c>
      <c r="K74" s="14">
        <v>25</v>
      </c>
      <c r="L74" s="14">
        <v>25</v>
      </c>
      <c r="M74" s="14">
        <v>17</v>
      </c>
      <c r="N74" s="14">
        <v>16</v>
      </c>
      <c r="O74" s="14">
        <v>15</v>
      </c>
      <c r="P74" s="14">
        <v>15</v>
      </c>
      <c r="Q74" s="14">
        <v>24</v>
      </c>
      <c r="R74" s="14">
        <v>24</v>
      </c>
      <c r="S74" s="14">
        <v>17</v>
      </c>
      <c r="T74" s="14">
        <v>16</v>
      </c>
      <c r="U74" s="12">
        <v>16</v>
      </c>
      <c r="V74" s="12">
        <v>15</v>
      </c>
      <c r="W74" s="12">
        <v>21</v>
      </c>
      <c r="X74" s="12">
        <v>21</v>
      </c>
      <c r="Y74" s="12">
        <v>6</v>
      </c>
      <c r="Z74" s="12">
        <v>6</v>
      </c>
      <c r="AA74" s="14">
        <f t="shared" si="17"/>
        <v>60</v>
      </c>
      <c r="AB74" s="14">
        <f t="shared" si="18"/>
        <v>58</v>
      </c>
    </row>
    <row r="75" spans="2:28" ht="15">
      <c r="B75" s="40" t="s">
        <v>12</v>
      </c>
      <c r="C75" s="14">
        <v>6</v>
      </c>
      <c r="D75" s="14">
        <v>6</v>
      </c>
      <c r="E75" s="14">
        <v>1</v>
      </c>
      <c r="F75" s="14">
        <v>1</v>
      </c>
      <c r="G75" s="14">
        <v>3</v>
      </c>
      <c r="H75" s="14">
        <v>3</v>
      </c>
      <c r="I75" s="14">
        <v>5</v>
      </c>
      <c r="J75" s="14">
        <v>5</v>
      </c>
      <c r="K75" s="14">
        <v>3</v>
      </c>
      <c r="L75" s="14">
        <v>3</v>
      </c>
      <c r="M75" s="14">
        <v>5</v>
      </c>
      <c r="N75" s="14">
        <v>5</v>
      </c>
      <c r="O75" s="14"/>
      <c r="P75" s="14"/>
      <c r="Q75" s="14">
        <v>2</v>
      </c>
      <c r="R75" s="14">
        <v>2</v>
      </c>
      <c r="S75" s="14">
        <v>6</v>
      </c>
      <c r="T75" s="14">
        <v>4</v>
      </c>
      <c r="U75" s="12">
        <v>5</v>
      </c>
      <c r="V75" s="12">
        <v>5</v>
      </c>
      <c r="W75" s="12">
        <v>1</v>
      </c>
      <c r="X75" s="12">
        <v>1</v>
      </c>
      <c r="Y75" s="12">
        <v>2</v>
      </c>
      <c r="Z75" s="12">
        <v>2</v>
      </c>
      <c r="AA75" s="14">
        <f t="shared" si="17"/>
        <v>14</v>
      </c>
      <c r="AB75" s="14">
        <f t="shared" si="18"/>
        <v>12</v>
      </c>
    </row>
    <row r="76" spans="2:28" ht="20.25" customHeight="1">
      <c r="B76" s="40" t="s">
        <v>13</v>
      </c>
      <c r="C76" s="14">
        <v>48</v>
      </c>
      <c r="D76" s="14">
        <v>13</v>
      </c>
      <c r="E76" s="14">
        <v>91</v>
      </c>
      <c r="F76" s="14">
        <v>24</v>
      </c>
      <c r="G76" s="14">
        <v>128</v>
      </c>
      <c r="H76" s="14">
        <v>27</v>
      </c>
      <c r="I76" s="14">
        <v>102</v>
      </c>
      <c r="J76" s="14">
        <v>22</v>
      </c>
      <c r="K76" s="14">
        <v>146</v>
      </c>
      <c r="L76" s="14">
        <v>33</v>
      </c>
      <c r="M76" s="14">
        <v>111</v>
      </c>
      <c r="N76" s="14">
        <v>31</v>
      </c>
      <c r="O76" s="14">
        <v>43</v>
      </c>
      <c r="P76" s="14">
        <v>16</v>
      </c>
      <c r="Q76" s="14">
        <v>104</v>
      </c>
      <c r="R76" s="14">
        <v>25</v>
      </c>
      <c r="S76" s="14">
        <v>120</v>
      </c>
      <c r="T76" s="14">
        <v>23</v>
      </c>
      <c r="U76" s="12">
        <v>106</v>
      </c>
      <c r="V76" s="12">
        <v>20</v>
      </c>
      <c r="W76" s="12">
        <v>87</v>
      </c>
      <c r="X76" s="12">
        <v>26</v>
      </c>
      <c r="Y76" s="12">
        <v>68</v>
      </c>
      <c r="Z76" s="12">
        <v>18</v>
      </c>
      <c r="AA76" s="14">
        <f t="shared" si="17"/>
        <v>381</v>
      </c>
      <c r="AB76" s="14">
        <f t="shared" si="18"/>
        <v>87</v>
      </c>
    </row>
    <row r="77" spans="2:28" ht="20.25" customHeight="1">
      <c r="B77" s="40" t="s">
        <v>14</v>
      </c>
      <c r="C77" s="14">
        <v>32</v>
      </c>
      <c r="D77" s="14">
        <v>6</v>
      </c>
      <c r="E77" s="14">
        <v>73</v>
      </c>
      <c r="F77" s="14">
        <v>9</v>
      </c>
      <c r="G77" s="14">
        <v>54</v>
      </c>
      <c r="H77" s="14">
        <v>7</v>
      </c>
      <c r="I77" s="14">
        <v>21</v>
      </c>
      <c r="J77" s="14">
        <v>5</v>
      </c>
      <c r="K77" s="14">
        <v>44</v>
      </c>
      <c r="L77" s="14">
        <v>9</v>
      </c>
      <c r="M77" s="14">
        <v>57</v>
      </c>
      <c r="N77" s="14">
        <v>11</v>
      </c>
      <c r="O77" s="14">
        <v>17</v>
      </c>
      <c r="P77" s="14">
        <v>3</v>
      </c>
      <c r="Q77" s="14">
        <v>10</v>
      </c>
      <c r="R77" s="14">
        <v>2</v>
      </c>
      <c r="S77" s="14">
        <v>45</v>
      </c>
      <c r="T77" s="14">
        <v>9</v>
      </c>
      <c r="U77" s="12">
        <v>43</v>
      </c>
      <c r="V77" s="12">
        <v>9</v>
      </c>
      <c r="W77" s="12">
        <v>8</v>
      </c>
      <c r="X77" s="12">
        <v>4</v>
      </c>
      <c r="Y77" s="12">
        <v>22</v>
      </c>
      <c r="Z77" s="12">
        <v>5</v>
      </c>
      <c r="AA77" s="14">
        <f t="shared" si="17"/>
        <v>118</v>
      </c>
      <c r="AB77" s="14">
        <f t="shared" si="18"/>
        <v>27</v>
      </c>
    </row>
    <row r="78" spans="2:28" ht="15">
      <c r="B78" s="41" t="s">
        <v>15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2"/>
      <c r="V78" s="12"/>
      <c r="W78" s="12"/>
      <c r="X78" s="12"/>
      <c r="Y78" s="12"/>
      <c r="Z78" s="12"/>
      <c r="AA78" s="14">
        <f t="shared" si="17"/>
        <v>0</v>
      </c>
      <c r="AB78" s="14">
        <f t="shared" si="18"/>
        <v>0</v>
      </c>
    </row>
    <row r="79" spans="2:28" ht="15">
      <c r="B79" s="42" t="s">
        <v>16</v>
      </c>
      <c r="C79" s="13">
        <f t="shared" ref="C79:T79" si="19">SUM(C71:C78)</f>
        <v>112</v>
      </c>
      <c r="D79" s="13">
        <f t="shared" si="19"/>
        <v>51</v>
      </c>
      <c r="E79" s="13">
        <f t="shared" si="19"/>
        <v>210</v>
      </c>
      <c r="F79" s="13">
        <f t="shared" si="19"/>
        <v>78</v>
      </c>
      <c r="G79" s="13">
        <f t="shared" si="19"/>
        <v>201</v>
      </c>
      <c r="H79" s="13">
        <f t="shared" si="19"/>
        <v>53</v>
      </c>
      <c r="I79" s="13">
        <f t="shared" si="19"/>
        <v>163</v>
      </c>
      <c r="J79" s="13">
        <f t="shared" si="19"/>
        <v>66</v>
      </c>
      <c r="K79" s="13">
        <f t="shared" si="19"/>
        <v>223</v>
      </c>
      <c r="L79" s="13">
        <f t="shared" si="19"/>
        <v>75</v>
      </c>
      <c r="M79" s="13">
        <f t="shared" si="19"/>
        <v>195</v>
      </c>
      <c r="N79" s="13">
        <f t="shared" si="19"/>
        <v>68</v>
      </c>
      <c r="O79" s="13">
        <f t="shared" si="19"/>
        <v>78</v>
      </c>
      <c r="P79" s="13">
        <f t="shared" si="19"/>
        <v>37</v>
      </c>
      <c r="Q79" s="13">
        <f t="shared" si="19"/>
        <v>141</v>
      </c>
      <c r="R79" s="13">
        <f t="shared" si="19"/>
        <v>54</v>
      </c>
      <c r="S79" s="13">
        <f t="shared" si="19"/>
        <v>190</v>
      </c>
      <c r="T79" s="13">
        <f t="shared" si="19"/>
        <v>54</v>
      </c>
      <c r="U79" s="13">
        <f t="shared" ref="U79:Z79" si="20">SUM(U71:U78)</f>
        <v>176</v>
      </c>
      <c r="V79" s="13">
        <f t="shared" si="20"/>
        <v>55</v>
      </c>
      <c r="W79" s="13">
        <f t="shared" si="20"/>
        <v>125</v>
      </c>
      <c r="X79" s="13">
        <f t="shared" si="20"/>
        <v>60</v>
      </c>
      <c r="Y79" s="13">
        <f t="shared" si="20"/>
        <v>101</v>
      </c>
      <c r="Z79" s="13">
        <f t="shared" si="20"/>
        <v>34</v>
      </c>
      <c r="AA79" s="13">
        <f t="shared" si="17"/>
        <v>592</v>
      </c>
      <c r="AB79" s="13">
        <f t="shared" si="18"/>
        <v>203</v>
      </c>
    </row>
    <row r="80" spans="2:28" ht="15">
      <c r="B80" s="43" t="s">
        <v>17</v>
      </c>
      <c r="C80" s="14">
        <v>1</v>
      </c>
      <c r="D80" s="14">
        <v>12</v>
      </c>
      <c r="E80" s="14">
        <v>2</v>
      </c>
      <c r="F80" s="14">
        <v>18</v>
      </c>
      <c r="G80" s="14">
        <v>1</v>
      </c>
      <c r="H80" s="14">
        <v>6</v>
      </c>
      <c r="I80" s="14">
        <v>1</v>
      </c>
      <c r="J80" s="14">
        <v>8</v>
      </c>
      <c r="K80" s="14">
        <v>1</v>
      </c>
      <c r="L80" s="14">
        <v>5</v>
      </c>
      <c r="M80" s="14">
        <v>1</v>
      </c>
      <c r="N80" s="14">
        <v>5</v>
      </c>
      <c r="O80" s="14">
        <v>1</v>
      </c>
      <c r="P80" s="14">
        <v>3</v>
      </c>
      <c r="Q80" s="14">
        <v>1</v>
      </c>
      <c r="R80" s="14">
        <v>1</v>
      </c>
      <c r="S80" s="14">
        <v>1</v>
      </c>
      <c r="T80" s="14">
        <v>2</v>
      </c>
      <c r="U80" s="12">
        <v>1</v>
      </c>
      <c r="V80" s="12">
        <v>17</v>
      </c>
      <c r="W80" s="12">
        <v>1</v>
      </c>
      <c r="X80" s="12">
        <v>8</v>
      </c>
      <c r="Y80" s="12">
        <v>1</v>
      </c>
      <c r="Z80" s="12">
        <v>3</v>
      </c>
      <c r="AA80" s="14">
        <f>+S80+U80+W80+Y80</f>
        <v>4</v>
      </c>
      <c r="AB80" s="14">
        <f>+V80+X80+Z80+T80</f>
        <v>30</v>
      </c>
    </row>
    <row r="81" spans="2:28" ht="15">
      <c r="B81" s="44" t="s">
        <v>16</v>
      </c>
      <c r="C81" s="13">
        <f t="shared" ref="C81:T81" si="21">SUM(C80)</f>
        <v>1</v>
      </c>
      <c r="D81" s="13">
        <f t="shared" si="21"/>
        <v>12</v>
      </c>
      <c r="E81" s="13">
        <f t="shared" si="21"/>
        <v>2</v>
      </c>
      <c r="F81" s="13">
        <f t="shared" si="21"/>
        <v>18</v>
      </c>
      <c r="G81" s="13">
        <f t="shared" si="21"/>
        <v>1</v>
      </c>
      <c r="H81" s="13">
        <f t="shared" si="21"/>
        <v>6</v>
      </c>
      <c r="I81" s="13">
        <f t="shared" si="21"/>
        <v>1</v>
      </c>
      <c r="J81" s="13">
        <f t="shared" si="21"/>
        <v>8</v>
      </c>
      <c r="K81" s="13">
        <f t="shared" si="21"/>
        <v>1</v>
      </c>
      <c r="L81" s="13">
        <f t="shared" si="21"/>
        <v>5</v>
      </c>
      <c r="M81" s="13">
        <f t="shared" si="21"/>
        <v>1</v>
      </c>
      <c r="N81" s="13">
        <f t="shared" si="21"/>
        <v>5</v>
      </c>
      <c r="O81" s="13">
        <f t="shared" si="21"/>
        <v>1</v>
      </c>
      <c r="P81" s="13">
        <f t="shared" si="21"/>
        <v>3</v>
      </c>
      <c r="Q81" s="13">
        <f t="shared" si="21"/>
        <v>1</v>
      </c>
      <c r="R81" s="13">
        <f t="shared" si="21"/>
        <v>1</v>
      </c>
      <c r="S81" s="13">
        <f t="shared" si="21"/>
        <v>1</v>
      </c>
      <c r="T81" s="13">
        <f t="shared" si="21"/>
        <v>2</v>
      </c>
      <c r="U81" s="13">
        <f t="shared" ref="U81:Z81" si="22">SUM(U80)</f>
        <v>1</v>
      </c>
      <c r="V81" s="13">
        <f t="shared" si="22"/>
        <v>17</v>
      </c>
      <c r="W81" s="13">
        <f t="shared" si="22"/>
        <v>1</v>
      </c>
      <c r="X81" s="13">
        <f t="shared" si="22"/>
        <v>8</v>
      </c>
      <c r="Y81" s="13">
        <f t="shared" si="22"/>
        <v>1</v>
      </c>
      <c r="Z81" s="13">
        <f t="shared" si="22"/>
        <v>3</v>
      </c>
      <c r="AA81" s="13">
        <f>+S81+U81+W81+Y81</f>
        <v>4</v>
      </c>
      <c r="AB81" s="13">
        <f>+V81+X81+Z81+T81</f>
        <v>30</v>
      </c>
    </row>
    <row r="82" spans="2:28" ht="15">
      <c r="B82" s="45" t="s">
        <v>18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2"/>
      <c r="V82" s="12"/>
      <c r="W82" s="12"/>
      <c r="X82" s="12"/>
      <c r="Y82" s="12"/>
      <c r="Z82" s="12"/>
      <c r="AA82" s="15">
        <f>+U82+W82+Y82+S82</f>
        <v>0</v>
      </c>
      <c r="AB82" s="15">
        <f>+T82+V82+X82+Z82</f>
        <v>0</v>
      </c>
    </row>
    <row r="83" spans="2:28" ht="37.5" customHeight="1">
      <c r="B83" s="46" t="s">
        <v>16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6">
        <f>SUM(AA82:AA82)</f>
        <v>0</v>
      </c>
      <c r="AB83" s="16">
        <f>+T83+V83+X83+Z83</f>
        <v>0</v>
      </c>
    </row>
    <row r="84" spans="2:28" ht="15">
      <c r="B84" s="47" t="s">
        <v>19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2"/>
      <c r="AB84" s="12"/>
    </row>
    <row r="85" spans="2:28" ht="15">
      <c r="B85" s="48" t="s">
        <v>20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2">
        <f>+S85+U85+W85+Y85</f>
        <v>0</v>
      </c>
      <c r="AB85" s="12">
        <f>+T85+V85+X85+Z85</f>
        <v>0</v>
      </c>
    </row>
    <row r="86" spans="2:28" ht="15">
      <c r="B86" s="46" t="s">
        <v>16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>
        <f>SUM(AA84:AA85)</f>
        <v>0</v>
      </c>
      <c r="AB86" s="13">
        <f>SUM(AB85)</f>
        <v>0</v>
      </c>
    </row>
    <row r="90" spans="2:28" ht="15.75">
      <c r="B90" s="86" t="s">
        <v>33</v>
      </c>
      <c r="C90" s="81" t="s">
        <v>34</v>
      </c>
      <c r="D90" s="82"/>
      <c r="E90" s="81" t="s">
        <v>35</v>
      </c>
      <c r="F90" s="82"/>
      <c r="G90" s="81" t="s">
        <v>24</v>
      </c>
      <c r="H90" s="82"/>
      <c r="I90" s="81" t="s">
        <v>36</v>
      </c>
      <c r="J90" s="82"/>
      <c r="K90" s="81" t="s">
        <v>26</v>
      </c>
      <c r="L90" s="82"/>
      <c r="M90" s="76" t="s">
        <v>27</v>
      </c>
      <c r="N90" s="76"/>
      <c r="O90" s="76" t="s">
        <v>28</v>
      </c>
      <c r="P90" s="76"/>
      <c r="Q90" s="76" t="s">
        <v>37</v>
      </c>
      <c r="R90" s="76"/>
      <c r="S90" s="76" t="s">
        <v>1</v>
      </c>
      <c r="T90" s="76"/>
      <c r="U90" s="76" t="s">
        <v>2</v>
      </c>
      <c r="V90" s="76"/>
      <c r="W90" s="76" t="s">
        <v>3</v>
      </c>
      <c r="X90" s="76"/>
      <c r="Y90" s="76" t="s">
        <v>4</v>
      </c>
      <c r="Z90" s="76"/>
      <c r="AA90" s="76" t="s">
        <v>5</v>
      </c>
      <c r="AB90" s="76"/>
    </row>
    <row r="91" spans="2:28" ht="31.5">
      <c r="B91" s="79"/>
      <c r="C91" s="18" t="s">
        <v>6</v>
      </c>
      <c r="D91" s="18" t="s">
        <v>7</v>
      </c>
      <c r="E91" s="18" t="s">
        <v>6</v>
      </c>
      <c r="F91" s="18" t="s">
        <v>7</v>
      </c>
      <c r="G91" s="18" t="s">
        <v>6</v>
      </c>
      <c r="H91" s="18" t="s">
        <v>7</v>
      </c>
      <c r="I91" s="18" t="s">
        <v>6</v>
      </c>
      <c r="J91" s="18" t="s">
        <v>7</v>
      </c>
      <c r="K91" s="18" t="s">
        <v>6</v>
      </c>
      <c r="L91" s="18" t="s">
        <v>7</v>
      </c>
      <c r="M91" s="18" t="s">
        <v>6</v>
      </c>
      <c r="N91" s="18" t="s">
        <v>7</v>
      </c>
      <c r="O91" s="18" t="s">
        <v>6</v>
      </c>
      <c r="P91" s="18" t="s">
        <v>7</v>
      </c>
      <c r="Q91" s="18" t="s">
        <v>6</v>
      </c>
      <c r="R91" s="18" t="s">
        <v>7</v>
      </c>
      <c r="S91" s="18" t="s">
        <v>6</v>
      </c>
      <c r="T91" s="18" t="s">
        <v>7</v>
      </c>
      <c r="U91" s="18" t="s">
        <v>6</v>
      </c>
      <c r="V91" s="18" t="s">
        <v>7</v>
      </c>
      <c r="W91" s="18" t="s">
        <v>6</v>
      </c>
      <c r="X91" s="18" t="s">
        <v>7</v>
      </c>
      <c r="Y91" s="18" t="s">
        <v>6</v>
      </c>
      <c r="Z91" s="18" t="s">
        <v>7</v>
      </c>
      <c r="AA91" s="18" t="s">
        <v>6</v>
      </c>
      <c r="AB91" s="18" t="s">
        <v>7</v>
      </c>
    </row>
    <row r="92" spans="2:28" ht="15">
      <c r="B92" s="3" t="s">
        <v>8</v>
      </c>
      <c r="C92" s="12">
        <v>9</v>
      </c>
      <c r="D92" s="12">
        <v>9</v>
      </c>
      <c r="E92" s="12">
        <v>7</v>
      </c>
      <c r="F92" s="12">
        <v>7</v>
      </c>
      <c r="G92" s="12">
        <v>1</v>
      </c>
      <c r="H92" s="12">
        <v>1</v>
      </c>
      <c r="I92" s="12">
        <v>6</v>
      </c>
      <c r="J92" s="12">
        <v>6</v>
      </c>
      <c r="K92" s="12">
        <v>7</v>
      </c>
      <c r="L92" s="12">
        <v>7</v>
      </c>
      <c r="M92" s="12">
        <v>8</v>
      </c>
      <c r="N92" s="12">
        <v>8</v>
      </c>
      <c r="O92" s="12"/>
      <c r="P92" s="12"/>
      <c r="Q92" s="12">
        <v>8</v>
      </c>
      <c r="R92" s="12">
        <v>8</v>
      </c>
      <c r="S92" s="12">
        <v>8</v>
      </c>
      <c r="T92" s="12">
        <v>8</v>
      </c>
      <c r="U92" s="12">
        <v>8</v>
      </c>
      <c r="V92" s="12">
        <v>8</v>
      </c>
      <c r="W92" s="12">
        <v>8</v>
      </c>
      <c r="X92" s="12">
        <v>8</v>
      </c>
      <c r="Y92" s="14">
        <v>6</v>
      </c>
      <c r="Z92" s="14">
        <v>6</v>
      </c>
      <c r="AA92" s="12">
        <f t="shared" ref="AA92:AA104" si="23">+C92+E92+G92+I92+K92+M92+O92+Q92+S92+U92+W92+Y92</f>
        <v>76</v>
      </c>
      <c r="AB92" s="12">
        <f t="shared" ref="AB92:AB103" si="24">+D92+F92+H92+J92+L92+N92+P92+R92+T92+V92+X92+Z92</f>
        <v>76</v>
      </c>
    </row>
    <row r="93" spans="2:28" ht="15">
      <c r="B93" s="4" t="s">
        <v>9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4"/>
      <c r="Z93" s="14"/>
      <c r="AA93" s="12">
        <f t="shared" si="23"/>
        <v>0</v>
      </c>
      <c r="AB93" s="12">
        <f t="shared" si="24"/>
        <v>0</v>
      </c>
    </row>
    <row r="94" spans="2:28" ht="15">
      <c r="B94" s="4" t="s">
        <v>10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4"/>
      <c r="Z94" s="14"/>
      <c r="AA94" s="12">
        <f t="shared" si="23"/>
        <v>0</v>
      </c>
      <c r="AB94" s="12">
        <f t="shared" si="24"/>
        <v>0</v>
      </c>
    </row>
    <row r="95" spans="2:28" ht="15">
      <c r="B95" s="4" t="s">
        <v>11</v>
      </c>
      <c r="C95" s="12">
        <v>27</v>
      </c>
      <c r="D95" s="12">
        <v>26</v>
      </c>
      <c r="E95" s="12">
        <v>18</v>
      </c>
      <c r="F95" s="12">
        <v>17</v>
      </c>
      <c r="G95" s="12">
        <v>15</v>
      </c>
      <c r="H95" s="12">
        <v>15</v>
      </c>
      <c r="I95" s="12">
        <v>17</v>
      </c>
      <c r="J95" s="12">
        <v>17</v>
      </c>
      <c r="K95" s="12">
        <v>21</v>
      </c>
      <c r="L95" s="12">
        <v>21</v>
      </c>
      <c r="M95" s="12">
        <v>20</v>
      </c>
      <c r="N95" s="12">
        <v>20</v>
      </c>
      <c r="O95" s="12">
        <v>9</v>
      </c>
      <c r="P95" s="12">
        <v>9</v>
      </c>
      <c r="Q95" s="12">
        <v>20</v>
      </c>
      <c r="R95" s="12">
        <v>20</v>
      </c>
      <c r="S95" s="12">
        <v>13</v>
      </c>
      <c r="T95" s="12">
        <v>13</v>
      </c>
      <c r="U95" s="12">
        <v>13</v>
      </c>
      <c r="V95" s="12">
        <v>13</v>
      </c>
      <c r="W95" s="12">
        <v>23</v>
      </c>
      <c r="X95" s="12">
        <v>23</v>
      </c>
      <c r="Y95" s="14">
        <v>9</v>
      </c>
      <c r="Z95" s="14">
        <v>9</v>
      </c>
      <c r="AA95" s="12">
        <f t="shared" si="23"/>
        <v>205</v>
      </c>
      <c r="AB95" s="12">
        <f t="shared" si="24"/>
        <v>203</v>
      </c>
    </row>
    <row r="96" spans="2:28" ht="15">
      <c r="B96" s="4" t="s">
        <v>12</v>
      </c>
      <c r="C96" s="12">
        <v>1</v>
      </c>
      <c r="D96" s="12">
        <v>1</v>
      </c>
      <c r="E96" s="12">
        <v>1</v>
      </c>
      <c r="F96" s="12">
        <v>1</v>
      </c>
      <c r="G96" s="12">
        <v>1</v>
      </c>
      <c r="H96" s="12">
        <v>1</v>
      </c>
      <c r="I96" s="12">
        <v>1</v>
      </c>
      <c r="J96" s="12">
        <v>1</v>
      </c>
      <c r="K96" s="12">
        <v>3</v>
      </c>
      <c r="L96" s="12">
        <v>3</v>
      </c>
      <c r="M96" s="12">
        <v>1</v>
      </c>
      <c r="N96" s="12">
        <v>1</v>
      </c>
      <c r="O96" s="12"/>
      <c r="P96" s="12"/>
      <c r="Q96" s="12">
        <v>2</v>
      </c>
      <c r="R96" s="12">
        <v>2</v>
      </c>
      <c r="S96" s="12">
        <v>4</v>
      </c>
      <c r="T96" s="12">
        <v>4</v>
      </c>
      <c r="U96" s="12">
        <v>4</v>
      </c>
      <c r="V96" s="12">
        <v>4</v>
      </c>
      <c r="W96" s="12">
        <v>5</v>
      </c>
      <c r="X96" s="12">
        <v>5</v>
      </c>
      <c r="Y96" s="14">
        <v>1</v>
      </c>
      <c r="Z96" s="14">
        <v>1</v>
      </c>
      <c r="AA96" s="12">
        <f t="shared" si="23"/>
        <v>24</v>
      </c>
      <c r="AB96" s="12">
        <f t="shared" si="24"/>
        <v>24</v>
      </c>
    </row>
    <row r="97" spans="2:28" ht="15">
      <c r="B97" s="4" t="s">
        <v>38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4"/>
      <c r="Z97" s="14"/>
      <c r="AA97" s="12">
        <f t="shared" si="23"/>
        <v>0</v>
      </c>
      <c r="AB97" s="12">
        <f t="shared" si="24"/>
        <v>0</v>
      </c>
    </row>
    <row r="98" spans="2:28" ht="15">
      <c r="B98" s="4" t="s">
        <v>39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4"/>
      <c r="Z98" s="14"/>
      <c r="AA98" s="12">
        <f t="shared" si="23"/>
        <v>0</v>
      </c>
      <c r="AB98" s="12">
        <f t="shared" si="24"/>
        <v>0</v>
      </c>
    </row>
    <row r="99" spans="2:28" ht="15">
      <c r="B99" s="4" t="s">
        <v>13</v>
      </c>
      <c r="C99" s="12">
        <v>101</v>
      </c>
      <c r="D99" s="12">
        <v>23</v>
      </c>
      <c r="E99" s="12">
        <v>91</v>
      </c>
      <c r="F99" s="12">
        <v>32</v>
      </c>
      <c r="G99" s="12">
        <v>92</v>
      </c>
      <c r="H99" s="12">
        <v>30</v>
      </c>
      <c r="I99" s="12">
        <v>86</v>
      </c>
      <c r="J99" s="12">
        <v>18</v>
      </c>
      <c r="K99" s="12">
        <v>115</v>
      </c>
      <c r="L99" s="12">
        <v>29</v>
      </c>
      <c r="M99" s="12">
        <v>133</v>
      </c>
      <c r="N99" s="12">
        <v>30</v>
      </c>
      <c r="O99" s="12">
        <v>48</v>
      </c>
      <c r="P99" s="12">
        <v>19</v>
      </c>
      <c r="Q99" s="12">
        <v>61</v>
      </c>
      <c r="R99" s="12">
        <v>15</v>
      </c>
      <c r="S99" s="12">
        <v>77</v>
      </c>
      <c r="T99" s="12">
        <v>20</v>
      </c>
      <c r="U99" s="12">
        <v>95</v>
      </c>
      <c r="V99" s="12">
        <v>25</v>
      </c>
      <c r="W99" s="12">
        <v>105</v>
      </c>
      <c r="X99" s="12">
        <v>30</v>
      </c>
      <c r="Y99" s="14">
        <v>33</v>
      </c>
      <c r="Z99" s="14">
        <v>16</v>
      </c>
      <c r="AA99" s="12">
        <f t="shared" si="23"/>
        <v>1037</v>
      </c>
      <c r="AB99" s="12">
        <f t="shared" si="24"/>
        <v>287</v>
      </c>
    </row>
    <row r="100" spans="2:28" ht="15">
      <c r="B100" s="4" t="s">
        <v>14</v>
      </c>
      <c r="C100" s="12">
        <v>41</v>
      </c>
      <c r="D100" s="12">
        <v>6</v>
      </c>
      <c r="E100" s="12">
        <v>10</v>
      </c>
      <c r="F100" s="12">
        <v>4</v>
      </c>
      <c r="G100" s="12">
        <v>26</v>
      </c>
      <c r="H100" s="12">
        <v>5</v>
      </c>
      <c r="I100" s="12">
        <v>25</v>
      </c>
      <c r="J100" s="12">
        <v>9</v>
      </c>
      <c r="K100" s="12">
        <v>51</v>
      </c>
      <c r="L100" s="12">
        <v>9</v>
      </c>
      <c r="M100" s="12">
        <v>35</v>
      </c>
      <c r="N100" s="12">
        <v>8</v>
      </c>
      <c r="O100" s="12">
        <v>52</v>
      </c>
      <c r="P100" s="12">
        <v>10</v>
      </c>
      <c r="Q100" s="12">
        <v>16</v>
      </c>
      <c r="R100" s="12">
        <v>6</v>
      </c>
      <c r="S100" s="12">
        <v>46</v>
      </c>
      <c r="T100" s="12">
        <v>13</v>
      </c>
      <c r="U100" s="12">
        <v>33</v>
      </c>
      <c r="V100" s="12">
        <v>8</v>
      </c>
      <c r="W100" s="12">
        <v>20</v>
      </c>
      <c r="X100" s="12">
        <v>8</v>
      </c>
      <c r="Y100" s="14">
        <v>18</v>
      </c>
      <c r="Z100" s="14">
        <v>4</v>
      </c>
      <c r="AA100" s="12">
        <f t="shared" si="23"/>
        <v>373</v>
      </c>
      <c r="AB100" s="12">
        <f t="shared" si="24"/>
        <v>90</v>
      </c>
    </row>
    <row r="101" spans="2:28" ht="15">
      <c r="B101" s="4" t="s">
        <v>40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4"/>
      <c r="Z101" s="14"/>
      <c r="AA101" s="12">
        <f t="shared" si="23"/>
        <v>0</v>
      </c>
      <c r="AB101" s="12">
        <f t="shared" si="24"/>
        <v>0</v>
      </c>
    </row>
    <row r="102" spans="2:28" ht="15">
      <c r="B102" s="4" t="s">
        <v>41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4"/>
      <c r="Z102" s="14"/>
      <c r="AA102" s="12">
        <f t="shared" si="23"/>
        <v>0</v>
      </c>
      <c r="AB102" s="12">
        <f t="shared" si="24"/>
        <v>0</v>
      </c>
    </row>
    <row r="103" spans="2:28" ht="15">
      <c r="B103" s="5" t="s">
        <v>15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4"/>
      <c r="Z103" s="14"/>
      <c r="AA103" s="12">
        <f t="shared" si="23"/>
        <v>0</v>
      </c>
      <c r="AB103" s="12">
        <f t="shared" si="24"/>
        <v>0</v>
      </c>
    </row>
    <row r="104" spans="2:28" ht="15">
      <c r="B104" s="8" t="s">
        <v>16</v>
      </c>
      <c r="C104" s="13">
        <f t="shared" ref="C104:J104" si="25">SUM(C92:C103)</f>
        <v>179</v>
      </c>
      <c r="D104" s="13">
        <f t="shared" si="25"/>
        <v>65</v>
      </c>
      <c r="E104" s="13">
        <f t="shared" si="25"/>
        <v>127</v>
      </c>
      <c r="F104" s="13">
        <f t="shared" si="25"/>
        <v>61</v>
      </c>
      <c r="G104" s="13">
        <f t="shared" si="25"/>
        <v>135</v>
      </c>
      <c r="H104" s="13">
        <f t="shared" si="25"/>
        <v>52</v>
      </c>
      <c r="I104" s="13">
        <f t="shared" si="25"/>
        <v>135</v>
      </c>
      <c r="J104" s="13">
        <f t="shared" si="25"/>
        <v>51</v>
      </c>
      <c r="K104" s="13">
        <f>SUM(K92:K103)</f>
        <v>197</v>
      </c>
      <c r="L104" s="13">
        <f>SUM(L92:L103)</f>
        <v>69</v>
      </c>
      <c r="M104" s="13">
        <f>SUM(M92:M103)</f>
        <v>197</v>
      </c>
      <c r="N104" s="13">
        <f>SUM(N92:N103)</f>
        <v>67</v>
      </c>
      <c r="O104" s="13">
        <f>SUM(O96:O103)</f>
        <v>100</v>
      </c>
      <c r="P104" s="13">
        <f>SUM(P96:P103)</f>
        <v>29</v>
      </c>
      <c r="Q104" s="13">
        <f t="shared" ref="Q104:Z104" si="26">SUM(Q92:Q103)</f>
        <v>107</v>
      </c>
      <c r="R104" s="13">
        <f t="shared" si="26"/>
        <v>51</v>
      </c>
      <c r="S104" s="13">
        <f t="shared" si="26"/>
        <v>148</v>
      </c>
      <c r="T104" s="13">
        <f t="shared" si="26"/>
        <v>58</v>
      </c>
      <c r="U104" s="13">
        <f t="shared" si="26"/>
        <v>153</v>
      </c>
      <c r="V104" s="13">
        <f t="shared" si="26"/>
        <v>58</v>
      </c>
      <c r="W104" s="13">
        <f t="shared" si="26"/>
        <v>161</v>
      </c>
      <c r="X104" s="13">
        <f t="shared" si="26"/>
        <v>74</v>
      </c>
      <c r="Y104" s="13">
        <f t="shared" si="26"/>
        <v>67</v>
      </c>
      <c r="Z104" s="13">
        <f t="shared" si="26"/>
        <v>36</v>
      </c>
      <c r="AA104" s="13">
        <f t="shared" si="23"/>
        <v>1706</v>
      </c>
      <c r="AB104" s="13">
        <f>SUM(AB92:AB103)</f>
        <v>680</v>
      </c>
    </row>
    <row r="105" spans="2:28" ht="15">
      <c r="B105" s="17" t="s">
        <v>42</v>
      </c>
      <c r="C105" s="12">
        <v>1</v>
      </c>
      <c r="D105" s="12">
        <v>9</v>
      </c>
      <c r="E105" s="12">
        <v>1</v>
      </c>
      <c r="F105" s="12">
        <v>7</v>
      </c>
      <c r="G105" s="12">
        <v>1</v>
      </c>
      <c r="H105" s="12">
        <v>7</v>
      </c>
      <c r="I105" s="12">
        <v>1</v>
      </c>
      <c r="J105" s="12">
        <v>6</v>
      </c>
      <c r="K105" s="12">
        <v>1</v>
      </c>
      <c r="L105" s="12">
        <v>8</v>
      </c>
      <c r="M105" s="12">
        <v>1</v>
      </c>
      <c r="N105" s="12">
        <v>8</v>
      </c>
      <c r="O105" s="12">
        <v>1</v>
      </c>
      <c r="P105" s="12">
        <v>2</v>
      </c>
      <c r="Q105" s="12">
        <v>1</v>
      </c>
      <c r="R105" s="12">
        <v>8</v>
      </c>
      <c r="S105" s="12">
        <v>1</v>
      </c>
      <c r="T105" s="12">
        <v>8</v>
      </c>
      <c r="U105" s="12">
        <v>1</v>
      </c>
      <c r="V105" s="12">
        <v>8</v>
      </c>
      <c r="W105" s="12">
        <v>1</v>
      </c>
      <c r="X105" s="12">
        <v>8</v>
      </c>
      <c r="Y105" s="14">
        <v>1</v>
      </c>
      <c r="Z105" s="14">
        <v>6</v>
      </c>
      <c r="AA105" s="12">
        <f>+C105+E105+G105+I105+K105+O105+M105+Q105+S105+U105+W105+Y105</f>
        <v>12</v>
      </c>
      <c r="AB105" s="12">
        <f>+D105+F105+H105+J105+L105+N105+P105+R105+T105+V105+X105+Z105</f>
        <v>85</v>
      </c>
    </row>
    <row r="106" spans="2:28" ht="15">
      <c r="B106" s="9" t="s">
        <v>16</v>
      </c>
      <c r="C106" s="13">
        <f t="shared" ref="C106:J106" si="27">SUM(C105)</f>
        <v>1</v>
      </c>
      <c r="D106" s="13">
        <f t="shared" si="27"/>
        <v>9</v>
      </c>
      <c r="E106" s="13">
        <f t="shared" si="27"/>
        <v>1</v>
      </c>
      <c r="F106" s="13">
        <f t="shared" si="27"/>
        <v>7</v>
      </c>
      <c r="G106" s="13">
        <f t="shared" si="27"/>
        <v>1</v>
      </c>
      <c r="H106" s="13">
        <f t="shared" si="27"/>
        <v>7</v>
      </c>
      <c r="I106" s="13">
        <f t="shared" si="27"/>
        <v>1</v>
      </c>
      <c r="J106" s="13">
        <f t="shared" si="27"/>
        <v>6</v>
      </c>
      <c r="K106" s="13">
        <f t="shared" ref="K106:Z106" si="28">SUM(K105)</f>
        <v>1</v>
      </c>
      <c r="L106" s="13">
        <f t="shared" si="28"/>
        <v>8</v>
      </c>
      <c r="M106" s="13">
        <f t="shared" si="28"/>
        <v>1</v>
      </c>
      <c r="N106" s="13">
        <f t="shared" si="28"/>
        <v>8</v>
      </c>
      <c r="O106" s="13">
        <f t="shared" si="28"/>
        <v>1</v>
      </c>
      <c r="P106" s="13">
        <f t="shared" si="28"/>
        <v>2</v>
      </c>
      <c r="Q106" s="13">
        <f t="shared" si="28"/>
        <v>1</v>
      </c>
      <c r="R106" s="13">
        <f t="shared" si="28"/>
        <v>8</v>
      </c>
      <c r="S106" s="13">
        <f t="shared" si="28"/>
        <v>1</v>
      </c>
      <c r="T106" s="13">
        <f t="shared" si="28"/>
        <v>8</v>
      </c>
      <c r="U106" s="13">
        <f t="shared" si="28"/>
        <v>1</v>
      </c>
      <c r="V106" s="13">
        <f t="shared" si="28"/>
        <v>8</v>
      </c>
      <c r="W106" s="13">
        <f t="shared" si="28"/>
        <v>1</v>
      </c>
      <c r="X106" s="13">
        <f t="shared" si="28"/>
        <v>8</v>
      </c>
      <c r="Y106" s="13">
        <f t="shared" si="28"/>
        <v>1</v>
      </c>
      <c r="Z106" s="13">
        <f t="shared" si="28"/>
        <v>6</v>
      </c>
      <c r="AA106" s="13">
        <f>+C106+E106+G106+I106+K106+O106+M106+Q106+S106+U106+W106+Y106</f>
        <v>12</v>
      </c>
      <c r="AB106" s="13">
        <f>+D106+F106+H106+J106+L106+N106+P106+R106+T106+V106+X106+Z106</f>
        <v>85</v>
      </c>
    </row>
    <row r="107" spans="2:28" ht="15">
      <c r="B107" s="7" t="s">
        <v>43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4"/>
      <c r="Z107" s="14"/>
      <c r="AA107" s="12">
        <f>+C107+E107+G107+I107+K107+M107+O107+Q107+S107+U107+W107+Y107</f>
        <v>0</v>
      </c>
      <c r="AB107" s="12">
        <f>+D107+F107+H107+J107+L107+P107+R107+T107+V107+X107+Z107+N107</f>
        <v>0</v>
      </c>
    </row>
    <row r="108" spans="2:28" ht="15">
      <c r="B108" s="10" t="s">
        <v>16</v>
      </c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>
        <f>+C108+E108+G108+I108+K108+M108+O108+Q108+S108+U108+W108+Y108</f>
        <v>0</v>
      </c>
      <c r="AB108" s="13">
        <f>+D108+F108+H108+J108+L108+P108+R108+T108+V108+X108+Z108+N108</f>
        <v>0</v>
      </c>
    </row>
    <row r="113" spans="2:28" ht="15.75">
      <c r="B113" s="86" t="s">
        <v>44</v>
      </c>
      <c r="C113" s="81" t="s">
        <v>34</v>
      </c>
      <c r="D113" s="82"/>
      <c r="E113" s="81" t="s">
        <v>35</v>
      </c>
      <c r="F113" s="82"/>
      <c r="G113" s="81" t="s">
        <v>24</v>
      </c>
      <c r="H113" s="82"/>
      <c r="I113" s="81" t="s">
        <v>36</v>
      </c>
      <c r="J113" s="82"/>
      <c r="K113" s="81" t="s">
        <v>26</v>
      </c>
      <c r="L113" s="82"/>
      <c r="M113" s="76" t="s">
        <v>27</v>
      </c>
      <c r="N113" s="76"/>
      <c r="O113" s="76" t="s">
        <v>28</v>
      </c>
      <c r="P113" s="76"/>
      <c r="Q113" s="76" t="s">
        <v>37</v>
      </c>
      <c r="R113" s="76"/>
      <c r="S113" s="76" t="s">
        <v>1</v>
      </c>
      <c r="T113" s="76"/>
      <c r="U113" s="76" t="s">
        <v>2</v>
      </c>
      <c r="V113" s="76"/>
      <c r="W113" s="76" t="s">
        <v>3</v>
      </c>
      <c r="X113" s="76"/>
      <c r="Y113" s="76" t="s">
        <v>4</v>
      </c>
      <c r="Z113" s="76"/>
      <c r="AA113" s="76" t="s">
        <v>5</v>
      </c>
      <c r="AB113" s="76"/>
    </row>
    <row r="114" spans="2:28" ht="31.5">
      <c r="B114" s="79"/>
      <c r="C114" s="18" t="s">
        <v>6</v>
      </c>
      <c r="D114" s="18" t="s">
        <v>7</v>
      </c>
      <c r="E114" s="18" t="s">
        <v>6</v>
      </c>
      <c r="F114" s="18" t="s">
        <v>7</v>
      </c>
      <c r="G114" s="18" t="s">
        <v>6</v>
      </c>
      <c r="H114" s="18" t="s">
        <v>7</v>
      </c>
      <c r="I114" s="18" t="s">
        <v>6</v>
      </c>
      <c r="J114" s="18" t="s">
        <v>7</v>
      </c>
      <c r="K114" s="18" t="s">
        <v>6</v>
      </c>
      <c r="L114" s="18" t="s">
        <v>7</v>
      </c>
      <c r="M114" s="18" t="s">
        <v>6</v>
      </c>
      <c r="N114" s="18" t="s">
        <v>7</v>
      </c>
      <c r="O114" s="18" t="s">
        <v>6</v>
      </c>
      <c r="P114" s="18" t="s">
        <v>7</v>
      </c>
      <c r="Q114" s="18" t="s">
        <v>6</v>
      </c>
      <c r="R114" s="18" t="s">
        <v>7</v>
      </c>
      <c r="S114" s="18" t="s">
        <v>6</v>
      </c>
      <c r="T114" s="18" t="s">
        <v>7</v>
      </c>
      <c r="U114" s="18" t="s">
        <v>6</v>
      </c>
      <c r="V114" s="18" t="s">
        <v>7</v>
      </c>
      <c r="W114" s="18" t="s">
        <v>6</v>
      </c>
      <c r="X114" s="18" t="s">
        <v>7</v>
      </c>
      <c r="Y114" s="18" t="s">
        <v>6</v>
      </c>
      <c r="Z114" s="18" t="s">
        <v>7</v>
      </c>
      <c r="AA114" s="18" t="s">
        <v>6</v>
      </c>
      <c r="AB114" s="18" t="s">
        <v>7</v>
      </c>
    </row>
    <row r="115" spans="2:28" ht="15">
      <c r="B115" s="3" t="s">
        <v>8</v>
      </c>
      <c r="C115" s="12">
        <v>6</v>
      </c>
      <c r="D115" s="12">
        <v>6</v>
      </c>
      <c r="E115" s="12">
        <v>7</v>
      </c>
      <c r="F115" s="12">
        <v>7</v>
      </c>
      <c r="G115" s="12">
        <v>1</v>
      </c>
      <c r="H115" s="12">
        <v>1</v>
      </c>
      <c r="I115" s="12">
        <v>5</v>
      </c>
      <c r="J115" s="12">
        <v>5</v>
      </c>
      <c r="K115" s="12">
        <v>8</v>
      </c>
      <c r="L115" s="12">
        <v>8</v>
      </c>
      <c r="M115" s="12">
        <v>16</v>
      </c>
      <c r="N115" s="12">
        <v>16</v>
      </c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4"/>
      <c r="Z115" s="14"/>
      <c r="AA115" s="12">
        <f t="shared" ref="AA115:AA127" si="29">+C115+E115+G115+I115+K115+M115+O115+Q115+S115+U115+W115+Y115</f>
        <v>43</v>
      </c>
      <c r="AB115" s="12">
        <f t="shared" ref="AB115:AB127" si="30">+D115+F115+H115+J115+L115+N115+P115+R115+T115+V115+X115+Z115</f>
        <v>43</v>
      </c>
    </row>
    <row r="116" spans="2:28" ht="15">
      <c r="B116" s="4" t="s">
        <v>9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4"/>
      <c r="Z116" s="14"/>
      <c r="AA116" s="12">
        <f t="shared" si="29"/>
        <v>0</v>
      </c>
      <c r="AB116" s="12">
        <f t="shared" si="30"/>
        <v>0</v>
      </c>
    </row>
    <row r="117" spans="2:28" ht="15">
      <c r="B117" s="4" t="s">
        <v>10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4"/>
      <c r="Z117" s="14"/>
      <c r="AA117" s="12">
        <f t="shared" si="29"/>
        <v>0</v>
      </c>
      <c r="AB117" s="12">
        <f t="shared" si="30"/>
        <v>0</v>
      </c>
    </row>
    <row r="118" spans="2:28" ht="15">
      <c r="B118" s="4" t="s">
        <v>11</v>
      </c>
      <c r="C118" s="12">
        <v>22</v>
      </c>
      <c r="D118" s="12">
        <v>22</v>
      </c>
      <c r="E118" s="12">
        <v>17</v>
      </c>
      <c r="F118" s="12">
        <v>16</v>
      </c>
      <c r="G118" s="12">
        <v>18</v>
      </c>
      <c r="H118" s="12">
        <v>17</v>
      </c>
      <c r="I118" s="12">
        <v>21</v>
      </c>
      <c r="J118" s="12">
        <v>21</v>
      </c>
      <c r="K118" s="12">
        <v>12</v>
      </c>
      <c r="L118" s="12">
        <v>12</v>
      </c>
      <c r="M118" s="12">
        <v>20</v>
      </c>
      <c r="N118" s="12">
        <v>20</v>
      </c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4"/>
      <c r="Z118" s="14"/>
      <c r="AA118" s="12">
        <f t="shared" si="29"/>
        <v>110</v>
      </c>
      <c r="AB118" s="12">
        <f t="shared" si="30"/>
        <v>108</v>
      </c>
    </row>
    <row r="119" spans="2:28" ht="15">
      <c r="B119" s="4" t="s">
        <v>12</v>
      </c>
      <c r="C119" s="12">
        <v>4</v>
      </c>
      <c r="D119" s="12">
        <v>4</v>
      </c>
      <c r="E119" s="12">
        <v>2</v>
      </c>
      <c r="F119" s="12">
        <v>2</v>
      </c>
      <c r="G119" s="12">
        <v>3</v>
      </c>
      <c r="H119" s="12">
        <v>3</v>
      </c>
      <c r="I119" s="12">
        <v>6</v>
      </c>
      <c r="J119" s="12">
        <v>5</v>
      </c>
      <c r="K119" s="12">
        <v>1</v>
      </c>
      <c r="L119" s="12">
        <v>1</v>
      </c>
      <c r="M119" s="12">
        <v>5</v>
      </c>
      <c r="N119" s="12">
        <v>5</v>
      </c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4"/>
      <c r="Z119" s="14"/>
      <c r="AA119" s="12">
        <f t="shared" si="29"/>
        <v>21</v>
      </c>
      <c r="AB119" s="12">
        <f t="shared" si="30"/>
        <v>20</v>
      </c>
    </row>
    <row r="120" spans="2:28" ht="15">
      <c r="B120" s="4" t="s">
        <v>38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4"/>
      <c r="Z120" s="14"/>
      <c r="AA120" s="12">
        <f t="shared" si="29"/>
        <v>0</v>
      </c>
      <c r="AB120" s="12">
        <f t="shared" si="30"/>
        <v>0</v>
      </c>
    </row>
    <row r="121" spans="2:28" ht="15">
      <c r="B121" s="4" t="s">
        <v>39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4"/>
      <c r="Z121" s="14"/>
      <c r="AA121" s="12">
        <f t="shared" si="29"/>
        <v>0</v>
      </c>
      <c r="AB121" s="12">
        <f t="shared" si="30"/>
        <v>0</v>
      </c>
    </row>
    <row r="122" spans="2:28" ht="15">
      <c r="B122" s="4" t="s">
        <v>13</v>
      </c>
      <c r="C122" s="12">
        <v>123</v>
      </c>
      <c r="D122" s="12">
        <v>30</v>
      </c>
      <c r="E122" s="12">
        <v>109</v>
      </c>
      <c r="F122" s="12">
        <v>28</v>
      </c>
      <c r="G122" s="12">
        <v>101</v>
      </c>
      <c r="H122" s="12">
        <v>26</v>
      </c>
      <c r="I122" s="12">
        <v>94</v>
      </c>
      <c r="J122" s="12">
        <v>23</v>
      </c>
      <c r="K122" s="12">
        <v>108</v>
      </c>
      <c r="L122" s="12">
        <v>26</v>
      </c>
      <c r="M122" s="12">
        <v>161</v>
      </c>
      <c r="N122" s="12">
        <v>32</v>
      </c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4"/>
      <c r="Z122" s="14"/>
      <c r="AA122" s="12">
        <f t="shared" si="29"/>
        <v>696</v>
      </c>
      <c r="AB122" s="12">
        <f t="shared" si="30"/>
        <v>165</v>
      </c>
    </row>
    <row r="123" spans="2:28" ht="15">
      <c r="B123" s="4" t="s">
        <v>14</v>
      </c>
      <c r="C123" s="12">
        <v>42</v>
      </c>
      <c r="D123" s="12">
        <v>6</v>
      </c>
      <c r="E123" s="12">
        <v>25</v>
      </c>
      <c r="F123" s="12">
        <v>6</v>
      </c>
      <c r="G123" s="12">
        <v>38</v>
      </c>
      <c r="H123" s="12">
        <v>8</v>
      </c>
      <c r="I123" s="12">
        <v>15</v>
      </c>
      <c r="J123" s="12">
        <v>9</v>
      </c>
      <c r="K123" s="12">
        <v>29</v>
      </c>
      <c r="L123" s="12">
        <v>6</v>
      </c>
      <c r="M123" s="12">
        <v>46</v>
      </c>
      <c r="N123" s="12">
        <v>12</v>
      </c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4"/>
      <c r="Z123" s="14"/>
      <c r="AA123" s="12">
        <f t="shared" si="29"/>
        <v>195</v>
      </c>
      <c r="AB123" s="12">
        <f t="shared" si="30"/>
        <v>47</v>
      </c>
    </row>
    <row r="124" spans="2:28" ht="15">
      <c r="B124" s="4" t="s">
        <v>40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4"/>
      <c r="Z124" s="14"/>
      <c r="AA124" s="12">
        <f t="shared" si="29"/>
        <v>0</v>
      </c>
      <c r="AB124" s="12">
        <f t="shared" si="30"/>
        <v>0</v>
      </c>
    </row>
    <row r="125" spans="2:28" ht="15">
      <c r="B125" s="4" t="s">
        <v>41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4"/>
      <c r="Z125" s="14"/>
      <c r="AA125" s="12">
        <f t="shared" si="29"/>
        <v>0</v>
      </c>
      <c r="AB125" s="12">
        <f t="shared" si="30"/>
        <v>0</v>
      </c>
    </row>
    <row r="126" spans="2:28" ht="15">
      <c r="B126" s="5" t="s">
        <v>15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4"/>
      <c r="Z126" s="14"/>
      <c r="AA126" s="12">
        <f t="shared" si="29"/>
        <v>0</v>
      </c>
      <c r="AB126" s="12">
        <f t="shared" si="30"/>
        <v>0</v>
      </c>
    </row>
    <row r="127" spans="2:28" ht="15">
      <c r="B127" s="8" t="s">
        <v>16</v>
      </c>
      <c r="C127" s="13">
        <f t="shared" ref="C127:H127" si="31">SUM(C115:C126)</f>
        <v>197</v>
      </c>
      <c r="D127" s="13">
        <f t="shared" si="31"/>
        <v>68</v>
      </c>
      <c r="E127" s="13">
        <f t="shared" si="31"/>
        <v>160</v>
      </c>
      <c r="F127" s="13">
        <f t="shared" si="31"/>
        <v>59</v>
      </c>
      <c r="G127" s="13">
        <f t="shared" si="31"/>
        <v>161</v>
      </c>
      <c r="H127" s="13">
        <f t="shared" si="31"/>
        <v>55</v>
      </c>
      <c r="I127" s="13">
        <f t="shared" ref="I127:N127" si="32">SUM(I115:I126)</f>
        <v>141</v>
      </c>
      <c r="J127" s="13">
        <f t="shared" si="32"/>
        <v>63</v>
      </c>
      <c r="K127" s="13">
        <f t="shared" si="32"/>
        <v>158</v>
      </c>
      <c r="L127" s="13">
        <f t="shared" si="32"/>
        <v>53</v>
      </c>
      <c r="M127" s="13">
        <f t="shared" si="32"/>
        <v>248</v>
      </c>
      <c r="N127" s="13">
        <f t="shared" si="32"/>
        <v>85</v>
      </c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>
        <f t="shared" si="29"/>
        <v>1065</v>
      </c>
      <c r="AB127" s="13">
        <f t="shared" si="30"/>
        <v>383</v>
      </c>
    </row>
    <row r="128" spans="2:28" ht="15">
      <c r="B128" s="17" t="s">
        <v>42</v>
      </c>
      <c r="C128" s="12">
        <v>1</v>
      </c>
      <c r="D128" s="12">
        <v>6</v>
      </c>
      <c r="E128" s="12">
        <v>1</v>
      </c>
      <c r="F128" s="12">
        <v>7</v>
      </c>
      <c r="G128" s="12">
        <v>1</v>
      </c>
      <c r="H128" s="12">
        <v>1</v>
      </c>
      <c r="I128" s="12">
        <v>1</v>
      </c>
      <c r="J128" s="12">
        <v>5</v>
      </c>
      <c r="K128" s="12">
        <v>1</v>
      </c>
      <c r="L128" s="12">
        <v>8</v>
      </c>
      <c r="M128" s="12">
        <v>1</v>
      </c>
      <c r="N128" s="12">
        <v>11</v>
      </c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4"/>
      <c r="Z128" s="14"/>
      <c r="AA128" s="12">
        <f>+C128+E128+G128+I128+K128+O128+M128+Q128+S128+U128+W128+Y128</f>
        <v>6</v>
      </c>
      <c r="AB128" s="12">
        <f>+D128+F128+H128+J128+L128+N128+P128+R128+T128+V128+X128+Z128</f>
        <v>38</v>
      </c>
    </row>
    <row r="129" spans="2:28" ht="15">
      <c r="B129" s="9" t="s">
        <v>16</v>
      </c>
      <c r="C129" s="13">
        <f t="shared" ref="C129:H129" si="33">SUM(C128)</f>
        <v>1</v>
      </c>
      <c r="D129" s="13">
        <f t="shared" si="33"/>
        <v>6</v>
      </c>
      <c r="E129" s="13">
        <f t="shared" si="33"/>
        <v>1</v>
      </c>
      <c r="F129" s="13">
        <f t="shared" si="33"/>
        <v>7</v>
      </c>
      <c r="G129" s="13">
        <f t="shared" si="33"/>
        <v>1</v>
      </c>
      <c r="H129" s="13">
        <f t="shared" si="33"/>
        <v>1</v>
      </c>
      <c r="I129" s="13">
        <f t="shared" ref="I129:N129" si="34">SUM(I128)</f>
        <v>1</v>
      </c>
      <c r="J129" s="13">
        <f t="shared" si="34"/>
        <v>5</v>
      </c>
      <c r="K129" s="13">
        <f t="shared" si="34"/>
        <v>1</v>
      </c>
      <c r="L129" s="13">
        <f t="shared" si="34"/>
        <v>8</v>
      </c>
      <c r="M129" s="13">
        <f t="shared" si="34"/>
        <v>1</v>
      </c>
      <c r="N129" s="13">
        <f t="shared" si="34"/>
        <v>11</v>
      </c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>
        <f>+C129+E129+G129+I129+K129+O129+M129+Q129+S129+U129+W129+Y129</f>
        <v>6</v>
      </c>
      <c r="AB129" s="13">
        <f>+D129+F129+H129+J129+L129+N129+P129+R129+T129+V129+X129+Z129</f>
        <v>38</v>
      </c>
    </row>
    <row r="130" spans="2:28" ht="15">
      <c r="B130" s="7" t="s">
        <v>43</v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>
        <v>5</v>
      </c>
      <c r="N130" s="12">
        <v>5</v>
      </c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4"/>
      <c r="Z130" s="14"/>
      <c r="AA130" s="12">
        <f>+C130+E130+G130+I130+K130+M130+O130+Q130+S130+U130+W130+Y130</f>
        <v>5</v>
      </c>
      <c r="AB130" s="12">
        <f>+D130+F130+H130+J130+L130+P130+R130+T130+V130+X130+Z130+N130</f>
        <v>5</v>
      </c>
    </row>
    <row r="131" spans="2:28" ht="15">
      <c r="B131" s="10" t="s">
        <v>16</v>
      </c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>
        <f>SUM(M130)</f>
        <v>5</v>
      </c>
      <c r="N131" s="13">
        <f>SUM(N130)</f>
        <v>5</v>
      </c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>
        <f>+C131+E131+G131+I131+K131+M131+O131+Q131+S131+U131+W131+Y131</f>
        <v>5</v>
      </c>
      <c r="AB131" s="13">
        <f>+D131+F131+H131+J131+L131+P131+R131+T131+V131+X131+Z131+N131</f>
        <v>5</v>
      </c>
    </row>
    <row r="137" spans="2:28" ht="15.75">
      <c r="B137" s="86" t="s">
        <v>45</v>
      </c>
      <c r="C137" s="81" t="s">
        <v>34</v>
      </c>
      <c r="D137" s="82"/>
      <c r="E137" s="81" t="s">
        <v>35</v>
      </c>
      <c r="F137" s="82"/>
      <c r="G137" s="81" t="s">
        <v>24</v>
      </c>
      <c r="H137" s="82"/>
      <c r="I137" s="81" t="s">
        <v>36</v>
      </c>
      <c r="J137" s="82"/>
      <c r="K137" s="81" t="s">
        <v>26</v>
      </c>
      <c r="L137" s="82"/>
      <c r="M137" s="76" t="s">
        <v>27</v>
      </c>
      <c r="N137" s="76"/>
      <c r="O137" s="76" t="s">
        <v>28</v>
      </c>
      <c r="P137" s="76"/>
      <c r="Q137" s="76" t="s">
        <v>37</v>
      </c>
      <c r="R137" s="76"/>
      <c r="S137" s="76" t="s">
        <v>1</v>
      </c>
      <c r="T137" s="76"/>
      <c r="U137" s="76" t="s">
        <v>2</v>
      </c>
      <c r="V137" s="76"/>
      <c r="W137" s="76" t="s">
        <v>3</v>
      </c>
      <c r="X137" s="76"/>
      <c r="Y137" s="76" t="s">
        <v>4</v>
      </c>
      <c r="Z137" s="76"/>
      <c r="AA137" s="76" t="s">
        <v>5</v>
      </c>
      <c r="AB137" s="76"/>
    </row>
    <row r="138" spans="2:28" ht="31.5">
      <c r="B138" s="79"/>
      <c r="C138" s="18" t="s">
        <v>6</v>
      </c>
      <c r="D138" s="18" t="s">
        <v>7</v>
      </c>
      <c r="E138" s="18" t="s">
        <v>6</v>
      </c>
      <c r="F138" s="18" t="s">
        <v>7</v>
      </c>
      <c r="G138" s="18" t="s">
        <v>6</v>
      </c>
      <c r="H138" s="18" t="s">
        <v>7</v>
      </c>
      <c r="I138" s="18" t="s">
        <v>6</v>
      </c>
      <c r="J138" s="18" t="s">
        <v>7</v>
      </c>
      <c r="K138" s="18" t="s">
        <v>6</v>
      </c>
      <c r="L138" s="18" t="s">
        <v>7</v>
      </c>
      <c r="M138" s="18" t="s">
        <v>6</v>
      </c>
      <c r="N138" s="18" t="s">
        <v>7</v>
      </c>
      <c r="O138" s="18" t="s">
        <v>6</v>
      </c>
      <c r="P138" s="18" t="s">
        <v>7</v>
      </c>
      <c r="Q138" s="18" t="s">
        <v>6</v>
      </c>
      <c r="R138" s="18" t="s">
        <v>7</v>
      </c>
      <c r="S138" s="18" t="s">
        <v>6</v>
      </c>
      <c r="T138" s="18" t="s">
        <v>7</v>
      </c>
      <c r="U138" s="18" t="s">
        <v>6</v>
      </c>
      <c r="V138" s="18" t="s">
        <v>7</v>
      </c>
      <c r="W138" s="18" t="s">
        <v>6</v>
      </c>
      <c r="X138" s="18" t="s">
        <v>7</v>
      </c>
      <c r="Y138" s="18" t="s">
        <v>6</v>
      </c>
      <c r="Z138" s="18" t="s">
        <v>7</v>
      </c>
      <c r="AA138" s="18" t="s">
        <v>6</v>
      </c>
      <c r="AB138" s="18" t="s">
        <v>7</v>
      </c>
    </row>
    <row r="139" spans="2:28" ht="15">
      <c r="B139" s="3" t="s">
        <v>8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4"/>
      <c r="Z139" s="14"/>
      <c r="AA139" s="12">
        <f t="shared" ref="AA139:AA151" si="35">+C139+E139+G139+I139+K139+M139+O139+Q139+S139+U139+W139+Y139</f>
        <v>0</v>
      </c>
      <c r="AB139" s="12">
        <f t="shared" ref="AB139:AB151" si="36">+D139+F139+H139+J139+L139+N139+P139+R139+T139+V139+X139+Z139</f>
        <v>0</v>
      </c>
    </row>
    <row r="140" spans="2:28" ht="15">
      <c r="B140" s="4" t="s">
        <v>9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4"/>
      <c r="Z140" s="14"/>
      <c r="AA140" s="12">
        <f t="shared" si="35"/>
        <v>0</v>
      </c>
      <c r="AB140" s="12">
        <f t="shared" si="36"/>
        <v>0</v>
      </c>
    </row>
    <row r="141" spans="2:28" ht="15">
      <c r="B141" s="4" t="s">
        <v>10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4"/>
      <c r="Z141" s="14"/>
      <c r="AA141" s="12">
        <f t="shared" si="35"/>
        <v>0</v>
      </c>
      <c r="AB141" s="12">
        <f t="shared" si="36"/>
        <v>0</v>
      </c>
    </row>
    <row r="142" spans="2:28" ht="15">
      <c r="B142" s="4" t="s">
        <v>11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4"/>
      <c r="Z142" s="14"/>
      <c r="AA142" s="12">
        <f t="shared" si="35"/>
        <v>0</v>
      </c>
      <c r="AB142" s="12">
        <f t="shared" si="36"/>
        <v>0</v>
      </c>
    </row>
    <row r="143" spans="2:28" ht="15">
      <c r="B143" s="4" t="s">
        <v>12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4"/>
      <c r="Z143" s="14"/>
      <c r="AA143" s="12">
        <f t="shared" si="35"/>
        <v>0</v>
      </c>
      <c r="AB143" s="12">
        <f t="shared" si="36"/>
        <v>0</v>
      </c>
    </row>
    <row r="144" spans="2:28" ht="15">
      <c r="B144" s="4" t="s">
        <v>38</v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4"/>
      <c r="Z144" s="14"/>
      <c r="AA144" s="12">
        <f t="shared" si="35"/>
        <v>0</v>
      </c>
      <c r="AB144" s="12">
        <f t="shared" si="36"/>
        <v>0</v>
      </c>
    </row>
    <row r="145" spans="2:28" ht="15">
      <c r="B145" s="4" t="s">
        <v>39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4"/>
      <c r="Z145" s="14"/>
      <c r="AA145" s="12">
        <f t="shared" si="35"/>
        <v>0</v>
      </c>
      <c r="AB145" s="12">
        <f t="shared" si="36"/>
        <v>0</v>
      </c>
    </row>
    <row r="146" spans="2:28" ht="15">
      <c r="B146" s="4" t="s">
        <v>13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4"/>
      <c r="Z146" s="14"/>
      <c r="AA146" s="12">
        <f t="shared" si="35"/>
        <v>0</v>
      </c>
      <c r="AB146" s="12">
        <f t="shared" si="36"/>
        <v>0</v>
      </c>
    </row>
    <row r="147" spans="2:28" ht="15">
      <c r="B147" s="4" t="s">
        <v>14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4"/>
      <c r="Z147" s="14"/>
      <c r="AA147" s="12">
        <f t="shared" si="35"/>
        <v>0</v>
      </c>
      <c r="AB147" s="12">
        <f t="shared" si="36"/>
        <v>0</v>
      </c>
    </row>
    <row r="148" spans="2:28" ht="15">
      <c r="B148" s="4" t="s">
        <v>40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4"/>
      <c r="Z148" s="14"/>
      <c r="AA148" s="12">
        <f t="shared" si="35"/>
        <v>0</v>
      </c>
      <c r="AB148" s="12">
        <f t="shared" si="36"/>
        <v>0</v>
      </c>
    </row>
    <row r="149" spans="2:28" ht="15">
      <c r="B149" s="4" t="s">
        <v>41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4"/>
      <c r="Z149" s="14"/>
      <c r="AA149" s="12">
        <f t="shared" si="35"/>
        <v>0</v>
      </c>
      <c r="AB149" s="12">
        <f t="shared" si="36"/>
        <v>0</v>
      </c>
    </row>
    <row r="150" spans="2:28" ht="15">
      <c r="B150" s="5" t="s">
        <v>15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4"/>
      <c r="Z150" s="14"/>
      <c r="AA150" s="12">
        <f t="shared" si="35"/>
        <v>0</v>
      </c>
      <c r="AB150" s="12">
        <f t="shared" si="36"/>
        <v>0</v>
      </c>
    </row>
    <row r="151" spans="2:28" ht="15">
      <c r="B151" s="8" t="s">
        <v>16</v>
      </c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>
        <f t="shared" si="35"/>
        <v>0</v>
      </c>
      <c r="AB151" s="13">
        <f t="shared" si="36"/>
        <v>0</v>
      </c>
    </row>
    <row r="152" spans="2:28" ht="15">
      <c r="B152" s="17" t="s">
        <v>42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4"/>
      <c r="Z152" s="14"/>
      <c r="AA152" s="12">
        <f>+C152+E152+G152+I152+K152+O152+M152+Q152+S152+U152+W152+Y152</f>
        <v>0</v>
      </c>
      <c r="AB152" s="12">
        <f>+D152+F152+H152+J152+L152+N152+P152+R152+T152+V152+X152+Z152</f>
        <v>0</v>
      </c>
    </row>
    <row r="153" spans="2:28" ht="15">
      <c r="B153" s="9" t="s">
        <v>16</v>
      </c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>
        <f>+C153+E153+G153+I153+K153+O153+M153+Q153+S153+U153+W153+Y153</f>
        <v>0</v>
      </c>
      <c r="AB153" s="13">
        <f>+D153+F153+H153+J153+L153+N153+P153+R153+T153+V153+X153+Z153</f>
        <v>0</v>
      </c>
    </row>
    <row r="154" spans="2:28" ht="15">
      <c r="B154" s="7" t="s">
        <v>43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4"/>
      <c r="Z154" s="14"/>
      <c r="AA154" s="12">
        <f>+C154+E154+G154+I154+K154+M154+O154+Q154+S154+U154+W154+Y154</f>
        <v>0</v>
      </c>
      <c r="AB154" s="12">
        <f>+D154+F154+H154+J154+L154+P154+R154+T154+V154+X154+Z154+N154</f>
        <v>0</v>
      </c>
    </row>
    <row r="155" spans="2:28" ht="15">
      <c r="B155" s="10" t="s">
        <v>16</v>
      </c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>
        <f>+C155+E155+G155+I155+K155+M155+O155+Q155+S155+U155+W155+Y155</f>
        <v>0</v>
      </c>
      <c r="AB155" s="13">
        <f>+D155+F155+H155+J155+L155+P155+R155+T155+V155+X155+Z155+N155</f>
        <v>0</v>
      </c>
    </row>
    <row r="159" spans="2:28" ht="18">
      <c r="B159" s="91" t="s">
        <v>46</v>
      </c>
      <c r="C159" s="93"/>
      <c r="D159" s="94"/>
    </row>
    <row r="160" spans="2:28" ht="26.25">
      <c r="B160" s="92"/>
      <c r="C160" s="66" t="s">
        <v>57</v>
      </c>
      <c r="D160" s="66" t="s">
        <v>7</v>
      </c>
      <c r="H160" s="55"/>
      <c r="I160" s="55"/>
      <c r="J160" s="56"/>
      <c r="K160" s="56"/>
      <c r="L160" s="56"/>
      <c r="M160" s="56"/>
      <c r="N160" s="56"/>
      <c r="O160" s="56"/>
      <c r="P160" s="56"/>
    </row>
    <row r="161" spans="2:16" ht="26.25">
      <c r="B161" s="67" t="s">
        <v>8</v>
      </c>
      <c r="C161" s="73">
        <v>317</v>
      </c>
      <c r="D161" s="73">
        <v>341</v>
      </c>
      <c r="H161" s="55"/>
      <c r="I161" s="55"/>
      <c r="J161" s="56"/>
      <c r="K161" s="56"/>
      <c r="L161" s="56"/>
      <c r="M161" s="56"/>
      <c r="N161" s="56"/>
      <c r="O161" s="56"/>
      <c r="P161" s="56"/>
    </row>
    <row r="162" spans="2:16" ht="26.25">
      <c r="B162" s="68" t="s">
        <v>58</v>
      </c>
      <c r="C162" s="73">
        <v>2</v>
      </c>
      <c r="D162" s="73">
        <v>4</v>
      </c>
      <c r="H162" s="55"/>
      <c r="I162" s="55"/>
      <c r="J162" s="56"/>
      <c r="K162" s="56"/>
      <c r="L162" s="56"/>
      <c r="M162" s="56"/>
      <c r="N162" s="56"/>
      <c r="O162" s="56"/>
      <c r="P162" s="56"/>
    </row>
    <row r="163" spans="2:16" ht="26.25">
      <c r="B163" s="68" t="s">
        <v>10</v>
      </c>
      <c r="C163" s="73">
        <v>0</v>
      </c>
      <c r="D163" s="73">
        <v>0</v>
      </c>
      <c r="H163" s="55"/>
      <c r="I163" s="55"/>
      <c r="J163" s="56"/>
      <c r="K163" s="56"/>
      <c r="L163" s="56"/>
      <c r="M163" s="56"/>
      <c r="N163" s="56"/>
      <c r="O163" s="56"/>
      <c r="P163" s="56"/>
    </row>
    <row r="164" spans="2:16" ht="26.25">
      <c r="B164" s="68" t="s">
        <v>11</v>
      </c>
      <c r="C164" s="73">
        <v>664</v>
      </c>
      <c r="D164" s="73">
        <v>728</v>
      </c>
      <c r="H164" s="55"/>
      <c r="I164" s="55"/>
      <c r="J164" s="56"/>
      <c r="K164" s="56"/>
      <c r="L164" s="56"/>
      <c r="M164" s="56"/>
      <c r="N164" s="56"/>
      <c r="O164" s="56"/>
      <c r="P164" s="56"/>
    </row>
    <row r="165" spans="2:16" ht="26.25">
      <c r="B165" s="68" t="s">
        <v>12</v>
      </c>
      <c r="C165" s="73">
        <v>218</v>
      </c>
      <c r="D165" s="73">
        <v>165</v>
      </c>
      <c r="H165" s="56"/>
      <c r="I165" s="56"/>
      <c r="J165" s="56"/>
      <c r="K165" s="55"/>
      <c r="L165" s="55"/>
      <c r="M165" s="55"/>
      <c r="N165" s="55"/>
      <c r="O165" s="55"/>
      <c r="P165" s="56"/>
    </row>
    <row r="166" spans="2:16" ht="26.25">
      <c r="B166" s="68" t="s">
        <v>38</v>
      </c>
      <c r="C166" s="73">
        <v>0</v>
      </c>
      <c r="D166" s="73">
        <v>0</v>
      </c>
      <c r="H166" s="56"/>
      <c r="I166" s="56"/>
      <c r="J166" s="56"/>
      <c r="K166" s="57"/>
      <c r="L166" s="57"/>
      <c r="M166" s="55"/>
      <c r="N166" s="57"/>
      <c r="O166" s="57"/>
      <c r="P166" s="56"/>
    </row>
    <row r="167" spans="2:16" ht="26.25">
      <c r="B167" s="68" t="s">
        <v>39</v>
      </c>
      <c r="C167" s="73">
        <v>0</v>
      </c>
      <c r="D167" s="73">
        <v>0</v>
      </c>
      <c r="H167" s="56"/>
      <c r="I167" s="56"/>
      <c r="J167" s="56"/>
      <c r="K167" s="55"/>
      <c r="L167" s="55"/>
      <c r="M167" s="55"/>
      <c r="N167" s="55"/>
      <c r="O167" s="55"/>
      <c r="P167" s="56"/>
    </row>
    <row r="168" spans="2:16" ht="26.25">
      <c r="B168" s="68" t="s">
        <v>13</v>
      </c>
      <c r="C168" s="73">
        <v>3260</v>
      </c>
      <c r="D168" s="73">
        <v>894</v>
      </c>
      <c r="H168" s="56"/>
      <c r="I168" s="56"/>
      <c r="J168" s="56"/>
      <c r="K168" s="56"/>
      <c r="L168" s="56"/>
      <c r="M168" s="56"/>
      <c r="N168" s="56"/>
      <c r="O168" s="56"/>
      <c r="P168" s="56"/>
    </row>
    <row r="169" spans="2:16" ht="26.25">
      <c r="B169" s="68" t="s">
        <v>14</v>
      </c>
      <c r="C169" s="73">
        <v>1199</v>
      </c>
      <c r="D169" s="73">
        <v>321</v>
      </c>
      <c r="H169" s="56"/>
      <c r="I169" s="56"/>
      <c r="J169" s="56"/>
      <c r="K169" s="56"/>
      <c r="L169" s="56"/>
      <c r="M169" s="56"/>
      <c r="N169" s="56"/>
      <c r="O169" s="56"/>
      <c r="P169" s="56"/>
    </row>
    <row r="170" spans="2:16" ht="26.25">
      <c r="B170" s="68" t="s">
        <v>40</v>
      </c>
      <c r="C170" s="73">
        <v>0</v>
      </c>
      <c r="D170" s="73">
        <v>0</v>
      </c>
      <c r="H170" s="56"/>
      <c r="I170" s="56"/>
      <c r="J170" s="56"/>
      <c r="K170" s="56"/>
      <c r="L170" s="56"/>
      <c r="M170" s="56"/>
      <c r="N170" s="56"/>
      <c r="O170" s="56"/>
      <c r="P170" s="56"/>
    </row>
    <row r="171" spans="2:16" ht="26.25">
      <c r="B171" s="68" t="s">
        <v>41</v>
      </c>
      <c r="C171" s="73">
        <v>0</v>
      </c>
      <c r="D171" s="73">
        <v>0</v>
      </c>
      <c r="H171" s="56"/>
      <c r="I171" s="56"/>
      <c r="J171" s="56"/>
      <c r="K171" s="56"/>
      <c r="L171" s="56"/>
      <c r="M171" s="56"/>
      <c r="N171" s="56"/>
      <c r="O171" s="56"/>
      <c r="P171" s="56"/>
    </row>
    <row r="172" spans="2:16" ht="26.25">
      <c r="B172" s="68" t="s">
        <v>15</v>
      </c>
      <c r="C172" s="73">
        <v>0</v>
      </c>
      <c r="D172" s="73">
        <v>0</v>
      </c>
    </row>
    <row r="173" spans="2:16" ht="26.25">
      <c r="B173" s="70" t="s">
        <v>16</v>
      </c>
      <c r="C173" s="74">
        <v>5660</v>
      </c>
      <c r="D173" s="74">
        <v>2453</v>
      </c>
    </row>
    <row r="174" spans="2:16" ht="26.25">
      <c r="B174" s="67" t="s">
        <v>17</v>
      </c>
      <c r="C174" s="73">
        <v>40</v>
      </c>
      <c r="D174" s="73">
        <v>358</v>
      </c>
    </row>
    <row r="175" spans="2:16" ht="26.25">
      <c r="B175" s="71" t="s">
        <v>16</v>
      </c>
      <c r="C175" s="74">
        <v>40</v>
      </c>
      <c r="D175" s="74">
        <v>358</v>
      </c>
    </row>
    <row r="176" spans="2:16" ht="26.25">
      <c r="B176" s="69" t="s">
        <v>43</v>
      </c>
      <c r="C176" s="73">
        <v>8</v>
      </c>
      <c r="D176" s="73">
        <v>8</v>
      </c>
    </row>
    <row r="177" spans="2:4" ht="26.25">
      <c r="B177" s="72" t="s">
        <v>16</v>
      </c>
      <c r="C177" s="75">
        <v>8</v>
      </c>
      <c r="D177" s="75">
        <v>8</v>
      </c>
    </row>
  </sheetData>
  <mergeCells count="97">
    <mergeCell ref="AA26:AB26"/>
    <mergeCell ref="K5:L5"/>
    <mergeCell ref="B5:B6"/>
    <mergeCell ref="C5:D5"/>
    <mergeCell ref="E5:F5"/>
    <mergeCell ref="G5:H5"/>
    <mergeCell ref="I5:J5"/>
    <mergeCell ref="Q26:R26"/>
    <mergeCell ref="S26:T26"/>
    <mergeCell ref="U26:V26"/>
    <mergeCell ref="W26:X26"/>
    <mergeCell ref="Y26:Z26"/>
    <mergeCell ref="G26:H26"/>
    <mergeCell ref="I26:J26"/>
    <mergeCell ref="K26:L26"/>
    <mergeCell ref="M26:N26"/>
    <mergeCell ref="O26:P26"/>
    <mergeCell ref="S47:T47"/>
    <mergeCell ref="U47:V47"/>
    <mergeCell ref="W47:X47"/>
    <mergeCell ref="Y47:Z47"/>
    <mergeCell ref="Q47:R47"/>
    <mergeCell ref="AA47:AB47"/>
    <mergeCell ref="Y69:Z69"/>
    <mergeCell ref="AA69:AB69"/>
    <mergeCell ref="B45:D45"/>
    <mergeCell ref="M69:N69"/>
    <mergeCell ref="O69:P69"/>
    <mergeCell ref="Q69:R69"/>
    <mergeCell ref="S69:T69"/>
    <mergeCell ref="B47:B48"/>
    <mergeCell ref="C47:D47"/>
    <mergeCell ref="E47:F47"/>
    <mergeCell ref="G47:H47"/>
    <mergeCell ref="I47:J47"/>
    <mergeCell ref="K47:L47"/>
    <mergeCell ref="M47:N47"/>
    <mergeCell ref="O47:P47"/>
    <mergeCell ref="B3:D3"/>
    <mergeCell ref="B67:D67"/>
    <mergeCell ref="B69:B70"/>
    <mergeCell ref="C69:D69"/>
    <mergeCell ref="E69:F69"/>
    <mergeCell ref="B25:D25"/>
    <mergeCell ref="B66:D66"/>
    <mergeCell ref="B26:B27"/>
    <mergeCell ref="C26:D26"/>
    <mergeCell ref="E26:F26"/>
    <mergeCell ref="B159:B160"/>
    <mergeCell ref="C159:D159"/>
    <mergeCell ref="AA113:AB113"/>
    <mergeCell ref="Y90:Z90"/>
    <mergeCell ref="AA90:AB90"/>
    <mergeCell ref="B113:B114"/>
    <mergeCell ref="C113:D113"/>
    <mergeCell ref="E113:F113"/>
    <mergeCell ref="G113:H113"/>
    <mergeCell ref="I113:J113"/>
    <mergeCell ref="K113:L113"/>
    <mergeCell ref="M113:N113"/>
    <mergeCell ref="O113:P113"/>
    <mergeCell ref="M90:N90"/>
    <mergeCell ref="O90:P90"/>
    <mergeCell ref="Q90:R90"/>
    <mergeCell ref="Q113:R113"/>
    <mergeCell ref="S113:T113"/>
    <mergeCell ref="U113:V113"/>
    <mergeCell ref="W113:X113"/>
    <mergeCell ref="Y113:Z113"/>
    <mergeCell ref="W90:X90"/>
    <mergeCell ref="I69:J69"/>
    <mergeCell ref="K69:L69"/>
    <mergeCell ref="B90:B91"/>
    <mergeCell ref="C90:D90"/>
    <mergeCell ref="E90:F90"/>
    <mergeCell ref="G90:H90"/>
    <mergeCell ref="I90:J90"/>
    <mergeCell ref="K90:L90"/>
    <mergeCell ref="G69:H69"/>
    <mergeCell ref="U69:V69"/>
    <mergeCell ref="W69:X69"/>
    <mergeCell ref="S90:T90"/>
    <mergeCell ref="U90:V90"/>
    <mergeCell ref="B137:B138"/>
    <mergeCell ref="C137:D137"/>
    <mergeCell ref="E137:F137"/>
    <mergeCell ref="G137:H137"/>
    <mergeCell ref="I137:J137"/>
    <mergeCell ref="U137:V137"/>
    <mergeCell ref="W137:X137"/>
    <mergeCell ref="Y137:Z137"/>
    <mergeCell ref="AA137:AB137"/>
    <mergeCell ref="K137:L137"/>
    <mergeCell ref="M137:N137"/>
    <mergeCell ref="O137:P137"/>
    <mergeCell ref="Q137:R137"/>
    <mergeCell ref="S137:T1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7"/>
  <sheetViews>
    <sheetView tabSelected="1" workbookViewId="0">
      <selection sqref="A1:C1"/>
    </sheetView>
  </sheetViews>
  <sheetFormatPr baseColWidth="10" defaultColWidth="9.140625" defaultRowHeight="15"/>
  <cols>
    <col min="1" max="1" width="42" customWidth="1"/>
    <col min="2" max="3" width="16" customWidth="1"/>
  </cols>
  <sheetData>
    <row r="1" spans="1:3" ht="27.95" customHeight="1">
      <c r="A1" s="97" t="s">
        <v>59</v>
      </c>
      <c r="B1" s="98"/>
      <c r="C1" s="98"/>
    </row>
    <row r="2" spans="1:3">
      <c r="A2" s="58"/>
      <c r="B2" s="62"/>
      <c r="C2" s="62"/>
    </row>
    <row r="3" spans="1:3" ht="15.75">
      <c r="A3" s="59" t="s">
        <v>60</v>
      </c>
      <c r="B3" s="63" t="s">
        <v>61</v>
      </c>
      <c r="C3" s="63" t="s">
        <v>7</v>
      </c>
    </row>
    <row r="4" spans="1:3">
      <c r="A4" s="58" t="s">
        <v>8</v>
      </c>
      <c r="B4" s="62">
        <v>1606</v>
      </c>
      <c r="C4" s="62">
        <v>1606</v>
      </c>
    </row>
    <row r="5" spans="1:3">
      <c r="A5" s="58" t="s">
        <v>58</v>
      </c>
      <c r="B5" s="62">
        <v>944</v>
      </c>
      <c r="C5" s="62">
        <v>626</v>
      </c>
    </row>
    <row r="6" spans="1:3">
      <c r="A6" s="58" t="s">
        <v>10</v>
      </c>
      <c r="B6" s="62">
        <v>2318</v>
      </c>
      <c r="C6" s="62">
        <v>714</v>
      </c>
    </row>
    <row r="7" spans="1:3">
      <c r="A7" s="58" t="s">
        <v>11</v>
      </c>
      <c r="B7" s="62">
        <v>3149</v>
      </c>
      <c r="C7" s="62">
        <v>3090</v>
      </c>
    </row>
    <row r="8" spans="1:3">
      <c r="A8" s="58" t="s">
        <v>12</v>
      </c>
      <c r="B8" s="62">
        <v>0</v>
      </c>
      <c r="C8" s="62">
        <v>0</v>
      </c>
    </row>
    <row r="9" spans="1:3">
      <c r="A9" s="58" t="s">
        <v>38</v>
      </c>
      <c r="B9" s="62">
        <v>1590</v>
      </c>
      <c r="C9" s="62">
        <v>1050</v>
      </c>
    </row>
    <row r="10" spans="1:3">
      <c r="A10" s="58" t="s">
        <v>39</v>
      </c>
      <c r="B10" s="62">
        <v>61</v>
      </c>
      <c r="C10" s="62">
        <v>60</v>
      </c>
    </row>
    <row r="11" spans="1:3">
      <c r="A11" s="58" t="s">
        <v>13</v>
      </c>
      <c r="B11" s="62">
        <v>8197</v>
      </c>
      <c r="C11" s="62">
        <v>2025</v>
      </c>
    </row>
    <row r="12" spans="1:3">
      <c r="A12" s="58" t="s">
        <v>14</v>
      </c>
      <c r="B12" s="62">
        <v>0</v>
      </c>
      <c r="C12" s="62">
        <v>0</v>
      </c>
    </row>
    <row r="13" spans="1:3">
      <c r="A13" s="58" t="s">
        <v>40</v>
      </c>
      <c r="B13" s="62">
        <v>817</v>
      </c>
      <c r="C13" s="62">
        <v>213</v>
      </c>
    </row>
    <row r="14" spans="1:3">
      <c r="A14" s="58" t="s">
        <v>41</v>
      </c>
      <c r="B14" s="62">
        <v>1</v>
      </c>
      <c r="C14" s="62">
        <v>1</v>
      </c>
    </row>
    <row r="15" spans="1:3">
      <c r="A15" s="58" t="s">
        <v>15</v>
      </c>
      <c r="B15" s="62">
        <v>2697</v>
      </c>
      <c r="C15" s="62">
        <v>405</v>
      </c>
    </row>
    <row r="16" spans="1:3">
      <c r="A16" s="60" t="s">
        <v>16</v>
      </c>
      <c r="B16" s="64">
        <v>21380</v>
      </c>
      <c r="C16" s="64">
        <v>9790</v>
      </c>
    </row>
    <row r="17" spans="1:3">
      <c r="A17" s="58" t="s">
        <v>17</v>
      </c>
      <c r="B17" s="62">
        <v>101</v>
      </c>
      <c r="C17" s="62">
        <v>2634</v>
      </c>
    </row>
    <row r="18" spans="1:3">
      <c r="A18" s="60" t="s">
        <v>16</v>
      </c>
      <c r="B18" s="64">
        <v>101</v>
      </c>
      <c r="C18" s="64">
        <v>2634</v>
      </c>
    </row>
    <row r="19" spans="1:3">
      <c r="A19" s="58" t="s">
        <v>43</v>
      </c>
      <c r="B19" s="62">
        <v>1707</v>
      </c>
      <c r="C19" s="62">
        <v>1704</v>
      </c>
    </row>
    <row r="20" spans="1:3">
      <c r="A20" s="60" t="s">
        <v>16</v>
      </c>
      <c r="B20" s="64">
        <v>1707</v>
      </c>
      <c r="C20" s="64">
        <v>1704</v>
      </c>
    </row>
    <row r="21" spans="1:3">
      <c r="A21" s="58"/>
      <c r="B21" s="62"/>
      <c r="C21" s="62"/>
    </row>
    <row r="22" spans="1:3" ht="15.75">
      <c r="A22" s="59" t="s">
        <v>62</v>
      </c>
      <c r="B22" s="63" t="s">
        <v>61</v>
      </c>
      <c r="C22" s="63" t="s">
        <v>7</v>
      </c>
    </row>
    <row r="23" spans="1:3">
      <c r="A23" s="58" t="s">
        <v>8</v>
      </c>
      <c r="B23" s="62">
        <v>799</v>
      </c>
      <c r="C23" s="62">
        <v>792</v>
      </c>
    </row>
    <row r="24" spans="1:3">
      <c r="A24" s="58" t="s">
        <v>58</v>
      </c>
      <c r="B24" s="62">
        <v>2</v>
      </c>
      <c r="C24" s="62">
        <v>4</v>
      </c>
    </row>
    <row r="25" spans="1:3">
      <c r="A25" s="58" t="s">
        <v>10</v>
      </c>
      <c r="B25" s="62">
        <v>0</v>
      </c>
      <c r="C25" s="62">
        <v>0</v>
      </c>
    </row>
    <row r="26" spans="1:3">
      <c r="A26" s="58" t="s">
        <v>11</v>
      </c>
      <c r="B26" s="62">
        <v>1311</v>
      </c>
      <c r="C26" s="62">
        <v>1260</v>
      </c>
    </row>
    <row r="27" spans="1:3">
      <c r="A27" s="58" t="s">
        <v>12</v>
      </c>
      <c r="B27" s="62">
        <v>0</v>
      </c>
      <c r="C27" s="62">
        <v>0</v>
      </c>
    </row>
    <row r="28" spans="1:3">
      <c r="A28" s="58" t="s">
        <v>38</v>
      </c>
      <c r="B28" s="62">
        <v>0</v>
      </c>
      <c r="C28" s="62">
        <v>0</v>
      </c>
    </row>
    <row r="29" spans="1:3">
      <c r="A29" s="58" t="s">
        <v>39</v>
      </c>
      <c r="B29" s="62">
        <v>0</v>
      </c>
      <c r="C29" s="62">
        <v>0</v>
      </c>
    </row>
    <row r="30" spans="1:3">
      <c r="A30" s="58" t="s">
        <v>13</v>
      </c>
      <c r="B30" s="62">
        <v>6953</v>
      </c>
      <c r="C30" s="62">
        <v>1997</v>
      </c>
    </row>
    <row r="31" spans="1:3">
      <c r="A31" s="58" t="s">
        <v>14</v>
      </c>
      <c r="B31" s="62">
        <v>0</v>
      </c>
      <c r="C31" s="62">
        <v>0</v>
      </c>
    </row>
    <row r="32" spans="1:3">
      <c r="A32" s="58" t="s">
        <v>40</v>
      </c>
      <c r="B32" s="62">
        <v>0</v>
      </c>
      <c r="C32" s="62">
        <v>0</v>
      </c>
    </row>
    <row r="33" spans="1:3">
      <c r="A33" s="58" t="s">
        <v>41</v>
      </c>
      <c r="B33" s="62">
        <v>0</v>
      </c>
      <c r="C33" s="62">
        <v>0</v>
      </c>
    </row>
    <row r="34" spans="1:3">
      <c r="A34" s="58" t="s">
        <v>15</v>
      </c>
      <c r="B34" s="62">
        <v>12156</v>
      </c>
      <c r="C34" s="62">
        <v>725</v>
      </c>
    </row>
    <row r="35" spans="1:3">
      <c r="A35" s="60" t="s">
        <v>16</v>
      </c>
      <c r="B35" s="64">
        <v>21221</v>
      </c>
      <c r="C35" s="64">
        <v>4778</v>
      </c>
    </row>
    <row r="36" spans="1:3">
      <c r="A36" s="58" t="s">
        <v>17</v>
      </c>
      <c r="B36" s="62">
        <v>41</v>
      </c>
      <c r="C36" s="62">
        <v>548</v>
      </c>
    </row>
    <row r="37" spans="1:3">
      <c r="A37" s="60" t="s">
        <v>16</v>
      </c>
      <c r="B37" s="64">
        <v>41</v>
      </c>
      <c r="C37" s="64">
        <v>548</v>
      </c>
    </row>
    <row r="38" spans="1:3">
      <c r="A38" s="58" t="s">
        <v>43</v>
      </c>
      <c r="B38" s="62">
        <v>169</v>
      </c>
      <c r="C38" s="62">
        <v>181</v>
      </c>
    </row>
    <row r="39" spans="1:3">
      <c r="A39" s="60" t="s">
        <v>16</v>
      </c>
      <c r="B39" s="64">
        <v>169</v>
      </c>
      <c r="C39" s="64">
        <v>181</v>
      </c>
    </row>
    <row r="40" spans="1:3">
      <c r="A40" s="58"/>
      <c r="B40" s="62"/>
      <c r="C40" s="62"/>
    </row>
    <row r="41" spans="1:3" ht="15.75">
      <c r="A41" s="59" t="s">
        <v>63</v>
      </c>
      <c r="B41" s="63" t="s">
        <v>61</v>
      </c>
      <c r="C41" s="63" t="s">
        <v>7</v>
      </c>
    </row>
    <row r="42" spans="1:3">
      <c r="A42" s="58" t="s">
        <v>8</v>
      </c>
      <c r="B42" s="62">
        <v>317</v>
      </c>
      <c r="C42" s="62">
        <v>341</v>
      </c>
    </row>
    <row r="43" spans="1:3">
      <c r="A43" s="58" t="s">
        <v>58</v>
      </c>
      <c r="B43" s="62">
        <v>2</v>
      </c>
      <c r="C43" s="62">
        <v>4</v>
      </c>
    </row>
    <row r="44" spans="1:3">
      <c r="A44" s="58" t="s">
        <v>10</v>
      </c>
      <c r="B44" s="62">
        <v>0</v>
      </c>
      <c r="C44" s="62">
        <v>0</v>
      </c>
    </row>
    <row r="45" spans="1:3">
      <c r="A45" s="58" t="s">
        <v>11</v>
      </c>
      <c r="B45" s="62">
        <v>664</v>
      </c>
      <c r="C45" s="62">
        <v>728</v>
      </c>
    </row>
    <row r="46" spans="1:3">
      <c r="A46" s="58" t="s">
        <v>12</v>
      </c>
      <c r="B46" s="62">
        <v>218</v>
      </c>
      <c r="C46" s="62">
        <v>165</v>
      </c>
    </row>
    <row r="47" spans="1:3">
      <c r="A47" s="58" t="s">
        <v>38</v>
      </c>
      <c r="B47" s="62">
        <v>0</v>
      </c>
      <c r="C47" s="62">
        <v>0</v>
      </c>
    </row>
    <row r="48" spans="1:3">
      <c r="A48" s="58" t="s">
        <v>39</v>
      </c>
      <c r="B48" s="62">
        <v>0</v>
      </c>
      <c r="C48" s="62">
        <v>0</v>
      </c>
    </row>
    <row r="49" spans="1:3">
      <c r="A49" s="58" t="s">
        <v>13</v>
      </c>
      <c r="B49" s="62">
        <v>3260</v>
      </c>
      <c r="C49" s="62">
        <v>894</v>
      </c>
    </row>
    <row r="50" spans="1:3">
      <c r="A50" s="58" t="s">
        <v>14</v>
      </c>
      <c r="B50" s="62">
        <v>1199</v>
      </c>
      <c r="C50" s="62">
        <v>321</v>
      </c>
    </row>
    <row r="51" spans="1:3">
      <c r="A51" s="58" t="s">
        <v>40</v>
      </c>
      <c r="B51" s="62">
        <v>0</v>
      </c>
      <c r="C51" s="62">
        <v>0</v>
      </c>
    </row>
    <row r="52" spans="1:3">
      <c r="A52" s="58" t="s">
        <v>41</v>
      </c>
      <c r="B52" s="62">
        <v>0</v>
      </c>
      <c r="C52" s="62">
        <v>0</v>
      </c>
    </row>
    <row r="53" spans="1:3">
      <c r="A53" s="58" t="s">
        <v>15</v>
      </c>
      <c r="B53" s="62">
        <v>0</v>
      </c>
      <c r="C53" s="62">
        <v>0</v>
      </c>
    </row>
    <row r="54" spans="1:3">
      <c r="A54" s="60" t="s">
        <v>16</v>
      </c>
      <c r="B54" s="64">
        <v>5660</v>
      </c>
      <c r="C54" s="64">
        <v>2453</v>
      </c>
    </row>
    <row r="55" spans="1:3">
      <c r="A55" s="58" t="s">
        <v>17</v>
      </c>
      <c r="B55" s="62">
        <v>40</v>
      </c>
      <c r="C55" s="62">
        <v>358</v>
      </c>
    </row>
    <row r="56" spans="1:3">
      <c r="A56" s="60" t="s">
        <v>16</v>
      </c>
      <c r="B56" s="64">
        <v>40</v>
      </c>
      <c r="C56" s="64">
        <v>358</v>
      </c>
    </row>
    <row r="57" spans="1:3">
      <c r="A57" s="58" t="s">
        <v>43</v>
      </c>
      <c r="B57" s="62">
        <v>8</v>
      </c>
      <c r="C57" s="62">
        <v>8</v>
      </c>
    </row>
    <row r="58" spans="1:3">
      <c r="A58" s="60" t="s">
        <v>16</v>
      </c>
      <c r="B58" s="64">
        <v>8</v>
      </c>
      <c r="C58" s="64">
        <v>8</v>
      </c>
    </row>
    <row r="59" spans="1:3">
      <c r="A59" s="58"/>
      <c r="B59" s="62"/>
      <c r="C59" s="62"/>
    </row>
    <row r="60" spans="1:3" ht="15.75">
      <c r="A60" s="61" t="s">
        <v>64</v>
      </c>
      <c r="B60" s="65" t="s">
        <v>61</v>
      </c>
      <c r="C60" s="65" t="s">
        <v>7</v>
      </c>
    </row>
    <row r="61" spans="1:3">
      <c r="A61" s="58" t="s">
        <v>8</v>
      </c>
      <c r="B61" s="62">
        <v>2722</v>
      </c>
      <c r="C61" s="62">
        <v>2739</v>
      </c>
    </row>
    <row r="62" spans="1:3">
      <c r="A62" s="58" t="s">
        <v>58</v>
      </c>
      <c r="B62" s="62">
        <v>948</v>
      </c>
      <c r="C62" s="62">
        <v>634</v>
      </c>
    </row>
    <row r="63" spans="1:3">
      <c r="A63" s="58" t="s">
        <v>10</v>
      </c>
      <c r="B63" s="62">
        <v>2318</v>
      </c>
      <c r="C63" s="62">
        <v>714</v>
      </c>
    </row>
    <row r="64" spans="1:3">
      <c r="A64" s="58" t="s">
        <v>11</v>
      </c>
      <c r="B64" s="62">
        <v>5124</v>
      </c>
      <c r="C64" s="62">
        <v>5078</v>
      </c>
    </row>
    <row r="65" spans="1:3">
      <c r="A65" s="58" t="s">
        <v>12</v>
      </c>
      <c r="B65" s="62">
        <v>218</v>
      </c>
      <c r="C65" s="62">
        <v>165</v>
      </c>
    </row>
    <row r="66" spans="1:3">
      <c r="A66" s="58" t="s">
        <v>38</v>
      </c>
      <c r="B66" s="62">
        <v>1590</v>
      </c>
      <c r="C66" s="62">
        <v>1050</v>
      </c>
    </row>
    <row r="67" spans="1:3">
      <c r="A67" s="58" t="s">
        <v>39</v>
      </c>
      <c r="B67" s="62">
        <v>61</v>
      </c>
      <c r="C67" s="62">
        <v>60</v>
      </c>
    </row>
    <row r="68" spans="1:3">
      <c r="A68" s="58" t="s">
        <v>13</v>
      </c>
      <c r="B68" s="62">
        <v>18410</v>
      </c>
      <c r="C68" s="62">
        <v>4916</v>
      </c>
    </row>
    <row r="69" spans="1:3">
      <c r="A69" s="58" t="s">
        <v>14</v>
      </c>
      <c r="B69" s="62">
        <v>1199</v>
      </c>
      <c r="C69" s="62">
        <v>321</v>
      </c>
    </row>
    <row r="70" spans="1:3">
      <c r="A70" s="58" t="s">
        <v>40</v>
      </c>
      <c r="B70" s="62">
        <v>817</v>
      </c>
      <c r="C70" s="62">
        <v>213</v>
      </c>
    </row>
    <row r="71" spans="1:3">
      <c r="A71" s="58" t="s">
        <v>41</v>
      </c>
      <c r="B71" s="62">
        <v>1</v>
      </c>
      <c r="C71" s="62">
        <v>1</v>
      </c>
    </row>
    <row r="72" spans="1:3">
      <c r="A72" s="58" t="s">
        <v>15</v>
      </c>
      <c r="B72" s="62">
        <v>14853</v>
      </c>
      <c r="C72" s="62">
        <v>1130</v>
      </c>
    </row>
    <row r="73" spans="1:3">
      <c r="A73" s="60" t="s">
        <v>16</v>
      </c>
      <c r="B73" s="64">
        <v>48261</v>
      </c>
      <c r="C73" s="64">
        <v>17021</v>
      </c>
    </row>
    <row r="74" spans="1:3">
      <c r="A74" s="58" t="s">
        <v>17</v>
      </c>
      <c r="B74" s="62">
        <v>182</v>
      </c>
      <c r="C74" s="62">
        <v>3540</v>
      </c>
    </row>
    <row r="75" spans="1:3">
      <c r="A75" s="60" t="s">
        <v>16</v>
      </c>
      <c r="B75" s="64">
        <v>182</v>
      </c>
      <c r="C75" s="64">
        <v>3540</v>
      </c>
    </row>
    <row r="76" spans="1:3">
      <c r="A76" s="58" t="s">
        <v>43</v>
      </c>
      <c r="B76" s="62">
        <v>1884</v>
      </c>
      <c r="C76" s="62">
        <v>1893</v>
      </c>
    </row>
    <row r="77" spans="1:3">
      <c r="A77" s="60" t="s">
        <v>16</v>
      </c>
      <c r="B77" s="64">
        <v>1884</v>
      </c>
      <c r="C77" s="64">
        <v>1893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 resumen hermosillo</vt:lpstr>
      <vt:lpstr>informacion resumen pma</vt:lpstr>
      <vt:lpstr>informacion resumen kino</vt:lpstr>
      <vt:lpstr>CONCENTRADO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2026-06-05T21:30:45Z</dcterms:created>
  <dcterms:modified xsi:type="dcterms:W3CDTF">2026-07-07T19:01:23Z</dcterms:modified>
</cp:coreProperties>
</file>